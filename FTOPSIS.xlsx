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C8BCCEA5-AC12-4C58-B0AE-D8FEE2747FCA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41" i="1"/>
  <c r="C42" i="1"/>
  <c r="C39" i="1"/>
  <c r="B40" i="1"/>
  <c r="B41" i="1"/>
  <c r="B42" i="1"/>
  <c r="B39" i="1"/>
  <c r="C33" i="1"/>
  <c r="C34" i="1"/>
  <c r="C35" i="1"/>
  <c r="C32" i="1"/>
  <c r="C32" i="2"/>
  <c r="B33" i="1"/>
  <c r="B34" i="1"/>
  <c r="B35" i="1"/>
  <c r="B32" i="1"/>
  <c r="B32" i="2"/>
  <c r="B33" i="2"/>
  <c r="E29" i="1"/>
  <c r="H29" i="1"/>
  <c r="K29" i="1"/>
  <c r="B29" i="1"/>
  <c r="E28" i="1"/>
  <c r="H28" i="1"/>
  <c r="K28" i="1"/>
  <c r="B28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M23" i="1"/>
  <c r="L23" i="1"/>
  <c r="K23" i="1"/>
  <c r="J23" i="1"/>
  <c r="I23" i="1"/>
  <c r="H23" i="1"/>
  <c r="G23" i="1"/>
  <c r="F23" i="1"/>
  <c r="E23" i="1"/>
  <c r="D23" i="1"/>
  <c r="C23" i="1"/>
  <c r="B23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M12" i="1"/>
  <c r="L12" i="1"/>
  <c r="K12" i="1"/>
  <c r="J12" i="1"/>
  <c r="I12" i="1"/>
  <c r="H12" i="1"/>
  <c r="G12" i="1"/>
  <c r="F12" i="1"/>
  <c r="E12" i="1"/>
  <c r="D12" i="1"/>
  <c r="C12" i="1"/>
  <c r="B12" i="1"/>
  <c r="K7" i="1"/>
  <c r="H7" i="1"/>
  <c r="E8" i="1"/>
  <c r="B8" i="1"/>
  <c r="G15" i="2"/>
  <c r="G26" i="2" s="1"/>
  <c r="F15" i="2"/>
  <c r="F26" i="2" s="1"/>
  <c r="C15" i="2"/>
  <c r="C26" i="2" s="1"/>
  <c r="B15" i="2"/>
  <c r="B26" i="2" s="1"/>
  <c r="G14" i="2"/>
  <c r="G25" i="2" s="1"/>
  <c r="F14" i="2"/>
  <c r="F25" i="2" s="1"/>
  <c r="C14" i="2"/>
  <c r="C25" i="2" s="1"/>
  <c r="B14" i="2"/>
  <c r="B25" i="2" s="1"/>
  <c r="G13" i="2"/>
  <c r="G24" i="2" s="1"/>
  <c r="F13" i="2"/>
  <c r="F24" i="2" s="1"/>
  <c r="C13" i="2"/>
  <c r="C24" i="2" s="1"/>
  <c r="B13" i="2"/>
  <c r="B24" i="2" s="1"/>
  <c r="G12" i="2"/>
  <c r="G23" i="2" s="1"/>
  <c r="E28" i="2" s="1"/>
  <c r="F12" i="2"/>
  <c r="F23" i="2" s="1"/>
  <c r="C12" i="2"/>
  <c r="C23" i="2" s="1"/>
  <c r="B12" i="2"/>
  <c r="B23" i="2" s="1"/>
  <c r="E8" i="2"/>
  <c r="E15" i="2" s="1"/>
  <c r="E26" i="2" s="1"/>
  <c r="B8" i="2"/>
  <c r="D15" i="2" s="1"/>
  <c r="D26" i="2" s="1"/>
  <c r="K7" i="2"/>
  <c r="M15" i="2" s="1"/>
  <c r="M26" i="2" s="1"/>
  <c r="H7" i="2"/>
  <c r="I15" i="2" s="1"/>
  <c r="I26" i="2" s="1"/>
  <c r="B29" i="2" l="1"/>
  <c r="J12" i="2"/>
  <c r="J23" i="2" s="1"/>
  <c r="J14" i="2"/>
  <c r="J25" i="2" s="1"/>
  <c r="J15" i="2"/>
  <c r="J26" i="2" s="1"/>
  <c r="K12" i="2"/>
  <c r="K23" i="2" s="1"/>
  <c r="K14" i="2"/>
  <c r="K25" i="2" s="1"/>
  <c r="D12" i="2"/>
  <c r="D23" i="2" s="1"/>
  <c r="B28" i="2" s="1"/>
  <c r="H12" i="2"/>
  <c r="H23" i="2" s="1"/>
  <c r="L12" i="2"/>
  <c r="L23" i="2" s="1"/>
  <c r="D13" i="2"/>
  <c r="D24" i="2" s="1"/>
  <c r="H13" i="2"/>
  <c r="H24" i="2" s="1"/>
  <c r="L13" i="2"/>
  <c r="L24" i="2" s="1"/>
  <c r="D14" i="2"/>
  <c r="D25" i="2" s="1"/>
  <c r="H14" i="2"/>
  <c r="H25" i="2" s="1"/>
  <c r="L14" i="2"/>
  <c r="L25" i="2" s="1"/>
  <c r="H15" i="2"/>
  <c r="H26" i="2" s="1"/>
  <c r="L15" i="2"/>
  <c r="L26" i="2" s="1"/>
  <c r="J13" i="2"/>
  <c r="J24" i="2" s="1"/>
  <c r="K13" i="2"/>
  <c r="K24" i="2" s="1"/>
  <c r="K15" i="2"/>
  <c r="K26" i="2" s="1"/>
  <c r="E12" i="2"/>
  <c r="E23" i="2" s="1"/>
  <c r="I12" i="2"/>
  <c r="I23" i="2" s="1"/>
  <c r="M12" i="2"/>
  <c r="M23" i="2" s="1"/>
  <c r="K28" i="2" s="1"/>
  <c r="E13" i="2"/>
  <c r="E24" i="2" s="1"/>
  <c r="I13" i="2"/>
  <c r="I24" i="2" s="1"/>
  <c r="M13" i="2"/>
  <c r="M24" i="2" s="1"/>
  <c r="E14" i="2"/>
  <c r="E25" i="2" s="1"/>
  <c r="I14" i="2"/>
  <c r="I25" i="2" s="1"/>
  <c r="M14" i="2"/>
  <c r="M25" i="2" s="1"/>
  <c r="H28" i="2" l="1"/>
  <c r="B34" i="2" s="1"/>
  <c r="E29" i="2"/>
  <c r="C33" i="2" s="1"/>
  <c r="K29" i="2"/>
  <c r="H29" i="2"/>
  <c r="C35" i="2"/>
  <c r="B40" i="2" l="1"/>
  <c r="B39" i="2"/>
  <c r="C34" i="2"/>
  <c r="B41" i="2" s="1"/>
  <c r="B35" i="2"/>
  <c r="B42" i="2" s="1"/>
  <c r="C42" i="2" l="1"/>
  <c r="C40" i="2"/>
  <c r="C41" i="2"/>
  <c r="C39" i="2"/>
</calcChain>
</file>

<file path=xl/sharedStrings.xml><?xml version="1.0" encoding="utf-8"?>
<sst xmlns="http://schemas.openxmlformats.org/spreadsheetml/2006/main" count="86" uniqueCount="19">
  <si>
    <t>A1</t>
  </si>
  <si>
    <t>A2</t>
  </si>
  <si>
    <t>A3</t>
  </si>
  <si>
    <t>A4</t>
  </si>
  <si>
    <t>cj*</t>
  </si>
  <si>
    <t>aj-</t>
  </si>
  <si>
    <t>A*</t>
  </si>
  <si>
    <t>A-</t>
  </si>
  <si>
    <t>d*</t>
  </si>
  <si>
    <t>d-</t>
  </si>
  <si>
    <t>Cj</t>
  </si>
  <si>
    <t>Decision matrix</t>
  </si>
  <si>
    <t>Normalized decision matrix</t>
  </si>
  <si>
    <t>Weighted normalized decision matrix</t>
  </si>
  <si>
    <t>C1-</t>
  </si>
  <si>
    <t>C2 -</t>
  </si>
  <si>
    <t>C3+</t>
  </si>
  <si>
    <t>C4 +</t>
  </si>
  <si>
    <t>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</si>
</sst>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2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3" borderId="6" xfId="1" applyFont="1" applyFill="1" applyBorder="1" applyAlignment="1">
      <alignment horizontal="center"/>
    </xf>
    <xf numFmtId="0" fontId="3" fillId="0" borderId="0" xfId="1" applyFont="1"/>
    <xf numFmtId="0" fontId="4" fillId="3" borderId="6" xfId="1" applyFont="1" applyFill="1" applyBorder="1" applyAlignment="1">
      <alignment horizontal="center"/>
    </xf>
    <xf numFmtId="0" fontId="3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0" xfId="1" applyFont="1"/>
    <xf numFmtId="0" fontId="2" fillId="0" borderId="0" xfId="0" applyFont="1"/>
    <xf numFmtId="0" fontId="3" fillId="3" borderId="1" xfId="0" applyFont="1" applyFill="1" applyBorder="1"/>
    <xf numFmtId="0" fontId="3" fillId="0" borderId="1" xfId="0" applyFont="1" applyBorder="1"/>
    <xf numFmtId="0" fontId="4" fillId="6" borderId="6" xfId="1" applyFont="1" applyFill="1" applyBorder="1" applyAlignment="1">
      <alignment horizontal="center"/>
    </xf>
    <xf numFmtId="0" fontId="3" fillId="6" borderId="1" xfId="0" applyFont="1" applyFill="1" applyBorder="1"/>
    <xf numFmtId="0" fontId="3" fillId="6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114300</xdr:colOff>
      <xdr:row>5</xdr:row>
      <xdr:rowOff>10722</xdr:rowOff>
    </xdr:from>
    <xdr:to>
      <xdr:col>19</xdr:col>
      <xdr:colOff>445171</xdr:colOff>
      <xdr:row>11</xdr:row>
      <xdr:rowOff>29560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8648700" y="1134672"/>
          <a:ext cx="3378871" cy="1304713"/>
        </a:xfrm>
        <a:prstGeom prst="rect">
          <a:avLst/>
        </a:prstGeom>
      </xdr:spPr>
    </xdr:pic>
    <xdr:clientData/>
  </xdr:twoCellAnchor>
  <xdr:twoCellAnchor editAs="oneCell">
    <xdr:from>
      <xdr:col>14</xdr:col>
      <xdr:colOff>22924</xdr:colOff>
      <xdr:row>0</xdr:row>
      <xdr:rowOff>9525</xdr:rowOff>
    </xdr:from>
    <xdr:to>
      <xdr:col>19</xdr:col>
      <xdr:colOff>94262</xdr:colOff>
      <xdr:row>4</xdr:row>
      <xdr:rowOff>159056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8557324" y="9525"/>
          <a:ext cx="3119338" cy="1073456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466725</xdr:colOff>
      <xdr:row>12</xdr:row>
      <xdr:rowOff>38100</xdr:rowOff>
    </xdr:from>
    <xdr:to>
      <xdr:col>21</xdr:col>
      <xdr:colOff>28575</xdr:colOff>
      <xdr:row>19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8391525" y="2647950"/>
          <a:ext cx="4438650" cy="15049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19</xdr:row>
      <xdr:rowOff>200025</xdr:rowOff>
    </xdr:from>
    <xdr:to>
      <xdr:col>26</xdr:col>
      <xdr:colOff>390828</xdr:colOff>
      <xdr:row>41</xdr:row>
      <xdr:rowOff>85589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8172450" y="4171950"/>
          <a:ext cx="8067978" cy="4267064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41</xdr:row>
      <xdr:rowOff>66675</xdr:rowOff>
    </xdr:from>
    <xdr:to>
      <xdr:col>21</xdr:col>
      <xdr:colOff>228600</xdr:colOff>
      <xdr:row>46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8048625" y="8420100"/>
          <a:ext cx="4981575" cy="895350"/>
        </a:xfrm>
        <a:prstGeom prst="rect">
          <a:avLst/>
        </a:prstGeom>
      </xdr:spPr>
    </xdr:pic>
    <xdr:clientData/>
  </xdr:twoCellAnchor>
  <xdr:twoCellAnchor editAs="oneCell">
    <xdr:from>
      <xdr:col>13</xdr:col>
      <xdr:colOff>104775</xdr:colOff>
      <xdr:row>46</xdr:row>
      <xdr:rowOff>46208</xdr:rowOff>
    </xdr:from>
    <xdr:to>
      <xdr:col>21</xdr:col>
      <xdr:colOff>381000</xdr:colOff>
      <xdr:row>51</xdr:row>
      <xdr:rowOff>112883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8029575" y="9352133"/>
          <a:ext cx="5153025" cy="1019175"/>
        </a:xfrm>
        <a:prstGeom prst="rect">
          <a:avLst/>
        </a:prstGeom>
      </xdr:spPr>
    </xdr:pic>
    <xdr:clientData/>
  </xdr:twoCellAnchor>
  <xdr:twoCellAnchor editAs="oneCell">
    <xdr:from>
      <xdr:col>12</xdr:col>
      <xdr:colOff>416631</xdr:colOff>
      <xdr:row>51</xdr:row>
      <xdr:rowOff>150825</xdr:rowOff>
    </xdr:from>
    <xdr:to>
      <xdr:col>22</xdr:col>
      <xdr:colOff>464256</xdr:colOff>
      <xdr:row>57</xdr:row>
      <xdr:rowOff>131775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31831" y="10409250"/>
          <a:ext cx="6143625" cy="1123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581025</xdr:colOff>
      <xdr:row>78</xdr:row>
      <xdr:rowOff>104775</xdr:rowOff>
    </xdr:from>
    <xdr:to>
      <xdr:col>21</xdr:col>
      <xdr:colOff>547803</xdr:colOff>
      <xdr:row>85</xdr:row>
      <xdr:rowOff>3763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7896225" y="15020925"/>
          <a:ext cx="5453178" cy="1232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219075</xdr:colOff>
      <xdr:row>11</xdr:row>
      <xdr:rowOff>182172</xdr:rowOff>
    </xdr:from>
    <xdr:to>
      <xdr:col>19</xdr:col>
      <xdr:colOff>549946</xdr:colOff>
      <xdr:row>18</xdr:row>
      <xdr:rowOff>153385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279587-B32B-4E17-B55E-62135A588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8753475" y="2591997"/>
          <a:ext cx="3378871" cy="1304713"/>
        </a:xfrm>
        <a:prstGeom prst="rect">
          <a:avLst/>
        </a:prstGeom>
      </xdr:spPr>
    </xdr:pic>
    <xdr:clientData/>
  </xdr:twoCellAnchor>
  <xdr:twoCellAnchor editAs="oneCell">
    <xdr:from>
      <xdr:col>14</xdr:col>
      <xdr:colOff>108649</xdr:colOff>
      <xdr:row>5</xdr:row>
      <xdr:rowOff>38100</xdr:rowOff>
    </xdr:from>
    <xdr:to>
      <xdr:col>19</xdr:col>
      <xdr:colOff>179987</xdr:colOff>
      <xdr:row>10</xdr:row>
      <xdr:rowOff>159056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80C898-B4B1-4C08-AD91-98597840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8643049" y="1162050"/>
          <a:ext cx="3119338" cy="1073456"/>
        </a:xfrm>
        <a:prstGeom prst="rect">
          <a:avLst/>
        </a:prstGeom>
      </xdr:spPr>
    </xdr:pic>
    <xdr:clientData/>
  </xdr:twoCellAnchor>
  <xdr:twoCellAnchor editAs="oneCell">
    <xdr:from>
      <xdr:col>13</xdr:col>
      <xdr:colOff>409575</xdr:colOff>
      <xdr:row>19</xdr:row>
      <xdr:rowOff>104775</xdr:rowOff>
    </xdr:from>
    <xdr:to>
      <xdr:col>20</xdr:col>
      <xdr:colOff>581025</xdr:colOff>
      <xdr:row>27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422C5D-0D22-4D5B-A7EC-7A319A7F5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8334375" y="4076700"/>
          <a:ext cx="4438650" cy="1504950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30</xdr:row>
      <xdr:rowOff>0</xdr:rowOff>
    </xdr:from>
    <xdr:to>
      <xdr:col>25</xdr:col>
      <xdr:colOff>533703</xdr:colOff>
      <xdr:row>52</xdr:row>
      <xdr:rowOff>76064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1B8C79-063A-4755-83CB-BCB123DF8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7705725" y="6257925"/>
          <a:ext cx="8067978" cy="4267064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52</xdr:row>
      <xdr:rowOff>152400</xdr:rowOff>
    </xdr:from>
    <xdr:to>
      <xdr:col>20</xdr:col>
      <xdr:colOff>447675</xdr:colOff>
      <xdr:row>57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39F792-A5CC-4B07-84A7-B3BC43B8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7658100" y="10601325"/>
          <a:ext cx="4981575" cy="895350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57</xdr:row>
      <xdr:rowOff>93833</xdr:rowOff>
    </xdr:from>
    <xdr:to>
      <xdr:col>21</xdr:col>
      <xdr:colOff>66675</xdr:colOff>
      <xdr:row>62</xdr:row>
      <xdr:rowOff>160508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0F4D6D-FF87-4209-8FA0-3A10664C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7715250" y="11495258"/>
          <a:ext cx="5153025" cy="1019175"/>
        </a:xfrm>
        <a:prstGeom prst="rect">
          <a:avLst/>
        </a:prstGeom>
      </xdr:spPr>
    </xdr:pic>
    <xdr:clientData/>
  </xdr:twoCellAnchor>
  <xdr:twoCellAnchor editAs="oneCell">
    <xdr:from>
      <xdr:col>12</xdr:col>
      <xdr:colOff>349956</xdr:colOff>
      <xdr:row>63</xdr:row>
      <xdr:rowOff>84150</xdr:rowOff>
    </xdr:from>
    <xdr:to>
      <xdr:col>22</xdr:col>
      <xdr:colOff>397581</xdr:colOff>
      <xdr:row>69</xdr:row>
      <xdr:rowOff>65100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8C3CED-2E92-4ABE-A544-35F2EB6CF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65156" y="12628575"/>
          <a:ext cx="6143625" cy="1123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581025</xdr:colOff>
      <xdr:row>78</xdr:row>
      <xdr:rowOff>104775</xdr:rowOff>
    </xdr:from>
    <xdr:to>
      <xdr:col>21</xdr:col>
      <xdr:colOff>547803</xdr:colOff>
      <xdr:row>85</xdr:row>
      <xdr:rowOff>3763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FE2CD6-39A8-47D6-92A0-A7E8595C5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</a:blip>
        <a:stretch>
          <a:fillRect/>
        </a:stretch>
      </xdr:blipFill>
      <xdr:spPr>
        <a:xfrm>
          <a:off x="7896225" y="15506700"/>
          <a:ext cx="5453178" cy="1232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A19" workbookViewId="0">
      <selection activeCell="D40" sqref="D40"/>
    </sheetView>
  </sheetViews>
  <sheetFormatPr defaultRowHeight="15" x14ac:dyDescent="0.25"/>
  <cols>
    <col min="1" max="16384" width="9.140625" style="4"/>
  </cols>
  <sheetData>
    <row r="1" spans="1:13" ht="26.25" x14ac:dyDescent="0.4">
      <c r="A1" s="2"/>
      <c r="B1" s="20" t="s">
        <v>11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5">
      <c r="A2" s="5"/>
      <c r="B2" s="6" t="s">
        <v>14</v>
      </c>
      <c r="C2" s="7"/>
      <c r="D2" s="8"/>
      <c r="E2" s="6" t="s">
        <v>15</v>
      </c>
      <c r="F2" s="7"/>
      <c r="G2" s="8"/>
      <c r="H2" s="6" t="s">
        <v>16</v>
      </c>
      <c r="I2" s="7"/>
      <c r="J2" s="8"/>
      <c r="K2" s="6" t="s">
        <v>17</v>
      </c>
      <c r="L2" s="7"/>
      <c r="M2" s="8"/>
    </row>
    <row r="3" spans="1:13" ht="15.75" thickBot="1" x14ac:dyDescent="0.3">
      <c r="A3" s="9" t="s">
        <v>0</v>
      </c>
      <c r="B3" s="9">
        <v>1</v>
      </c>
      <c r="C3" s="9">
        <v>3</v>
      </c>
      <c r="D3" s="9">
        <v>5</v>
      </c>
      <c r="E3" s="9">
        <v>2</v>
      </c>
      <c r="F3" s="9">
        <v>3</v>
      </c>
      <c r="G3" s="9">
        <v>5</v>
      </c>
      <c r="H3" s="9">
        <v>3</v>
      </c>
      <c r="I3" s="9">
        <v>5</v>
      </c>
      <c r="J3" s="9">
        <v>7</v>
      </c>
      <c r="K3" s="9">
        <v>1</v>
      </c>
      <c r="L3" s="9">
        <v>1</v>
      </c>
      <c r="M3" s="9">
        <v>1</v>
      </c>
    </row>
    <row r="4" spans="1:13" ht="15.75" thickBot="1" x14ac:dyDescent="0.3">
      <c r="A4" s="5" t="s">
        <v>1</v>
      </c>
      <c r="B4" s="9">
        <v>1</v>
      </c>
      <c r="C4" s="9">
        <v>1</v>
      </c>
      <c r="D4" s="9">
        <v>3</v>
      </c>
      <c r="E4" s="9">
        <v>7</v>
      </c>
      <c r="F4" s="9">
        <v>9</v>
      </c>
      <c r="G4" s="9">
        <v>11</v>
      </c>
      <c r="H4" s="9">
        <v>2</v>
      </c>
      <c r="I4" s="9">
        <v>3</v>
      </c>
      <c r="J4" s="9">
        <v>7</v>
      </c>
      <c r="K4" s="9">
        <v>3</v>
      </c>
      <c r="L4" s="9">
        <v>5</v>
      </c>
      <c r="M4" s="9">
        <v>7</v>
      </c>
    </row>
    <row r="5" spans="1:13" ht="15.75" thickBot="1" x14ac:dyDescent="0.3">
      <c r="A5" s="9" t="s">
        <v>2</v>
      </c>
      <c r="B5" s="9">
        <v>3</v>
      </c>
      <c r="C5" s="9">
        <v>5</v>
      </c>
      <c r="D5" s="9">
        <v>7</v>
      </c>
      <c r="E5" s="9">
        <v>3</v>
      </c>
      <c r="F5" s="9">
        <v>5</v>
      </c>
      <c r="G5" s="9">
        <v>7</v>
      </c>
      <c r="H5" s="9">
        <v>5</v>
      </c>
      <c r="I5" s="9">
        <v>7</v>
      </c>
      <c r="J5" s="9">
        <v>8</v>
      </c>
      <c r="K5" s="9">
        <v>2</v>
      </c>
      <c r="L5" s="9">
        <v>3</v>
      </c>
      <c r="M5" s="9">
        <v>6</v>
      </c>
    </row>
    <row r="6" spans="1:13" x14ac:dyDescent="0.25">
      <c r="A6" s="10" t="s">
        <v>3</v>
      </c>
      <c r="B6" s="10">
        <v>2</v>
      </c>
      <c r="C6" s="10">
        <v>3</v>
      </c>
      <c r="D6" s="10">
        <v>6</v>
      </c>
      <c r="E6" s="10">
        <v>3</v>
      </c>
      <c r="F6" s="10">
        <v>5</v>
      </c>
      <c r="G6" s="10">
        <v>7</v>
      </c>
      <c r="H6" s="10">
        <v>2</v>
      </c>
      <c r="I6" s="10">
        <v>3</v>
      </c>
      <c r="J6" s="10">
        <v>5</v>
      </c>
      <c r="K6" s="10">
        <v>4</v>
      </c>
      <c r="L6" s="10">
        <v>5</v>
      </c>
      <c r="M6" s="10">
        <v>7</v>
      </c>
    </row>
    <row r="7" spans="1:13" x14ac:dyDescent="0.25">
      <c r="A7" s="11" t="s">
        <v>4</v>
      </c>
      <c r="B7" s="12"/>
      <c r="C7" s="13"/>
      <c r="D7" s="14"/>
      <c r="E7" s="12"/>
      <c r="F7" s="13"/>
      <c r="G7" s="14"/>
      <c r="H7" s="15">
        <f>MAX(J3:J6)</f>
        <v>8</v>
      </c>
      <c r="I7" s="15"/>
      <c r="J7" s="15"/>
      <c r="K7" s="15">
        <f>MAX(M3:M6)</f>
        <v>7</v>
      </c>
      <c r="L7" s="15"/>
      <c r="M7" s="15"/>
    </row>
    <row r="8" spans="1:13" x14ac:dyDescent="0.25">
      <c r="A8" s="11" t="s">
        <v>5</v>
      </c>
      <c r="B8" s="15">
        <f>MIN(B3:B6)</f>
        <v>1</v>
      </c>
      <c r="C8" s="15"/>
      <c r="D8" s="15"/>
      <c r="E8" s="15">
        <f>MIN(E3:E6)</f>
        <v>2</v>
      </c>
      <c r="F8" s="15"/>
      <c r="G8" s="15"/>
      <c r="H8" s="12"/>
      <c r="I8" s="13"/>
      <c r="J8" s="14"/>
      <c r="K8" s="12"/>
      <c r="L8" s="13"/>
      <c r="M8" s="14"/>
    </row>
    <row r="10" spans="1:13" ht="26.25" x14ac:dyDescent="0.4">
      <c r="A10" s="2"/>
      <c r="B10" s="20" t="s">
        <v>12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x14ac:dyDescent="0.25">
      <c r="A11" s="5"/>
      <c r="B11" s="6" t="s">
        <v>14</v>
      </c>
      <c r="C11" s="7"/>
      <c r="D11" s="8"/>
      <c r="E11" s="6" t="s">
        <v>15</v>
      </c>
      <c r="F11" s="7"/>
      <c r="G11" s="8"/>
      <c r="H11" s="6" t="s">
        <v>16</v>
      </c>
      <c r="I11" s="7"/>
      <c r="J11" s="8"/>
      <c r="K11" s="6" t="s">
        <v>17</v>
      </c>
      <c r="L11" s="7"/>
      <c r="M11" s="8"/>
    </row>
    <row r="12" spans="1:13" ht="15.75" thickBot="1" x14ac:dyDescent="0.3">
      <c r="A12" s="9" t="s">
        <v>0</v>
      </c>
      <c r="B12" s="9">
        <f>$B$8/D3</f>
        <v>0.2</v>
      </c>
      <c r="C12" s="9">
        <f>$B$8/C3</f>
        <v>0.33333333333333331</v>
      </c>
      <c r="D12" s="9">
        <f>$B$8/B3</f>
        <v>1</v>
      </c>
      <c r="E12" s="9">
        <f>$E$8/D3</f>
        <v>0.4</v>
      </c>
      <c r="F12" s="9">
        <f>$E$8/C3</f>
        <v>0.66666666666666663</v>
      </c>
      <c r="G12" s="9">
        <f>$E$8/B3</f>
        <v>2</v>
      </c>
      <c r="H12" s="9">
        <f>H3/$H$7</f>
        <v>0.375</v>
      </c>
      <c r="I12" s="9">
        <f>I3/$H$7</f>
        <v>0.625</v>
      </c>
      <c r="J12" s="9">
        <f>J3/$H$7</f>
        <v>0.875</v>
      </c>
      <c r="K12" s="9">
        <f>K3/$K$7</f>
        <v>0.14285714285714285</v>
      </c>
      <c r="L12" s="9">
        <f>L3/$K$7</f>
        <v>0.14285714285714285</v>
      </c>
      <c r="M12" s="9">
        <f>M3/$K$7</f>
        <v>0.14285714285714285</v>
      </c>
    </row>
    <row r="13" spans="1:13" ht="15.75" thickBot="1" x14ac:dyDescent="0.3">
      <c r="A13" s="5" t="s">
        <v>1</v>
      </c>
      <c r="B13" s="9">
        <f t="shared" ref="B13:B15" si="0">$B$8/D4</f>
        <v>0.33333333333333331</v>
      </c>
      <c r="C13" s="9">
        <f t="shared" ref="C13:C15" si="1">$B$8/C4</f>
        <v>1</v>
      </c>
      <c r="D13" s="9">
        <f t="shared" ref="D13:D15" si="2">$B$8/B4</f>
        <v>1</v>
      </c>
      <c r="E13" s="9">
        <f t="shared" ref="E13:E15" si="3">$E$8/D4</f>
        <v>0.66666666666666663</v>
      </c>
      <c r="F13" s="9">
        <f t="shared" ref="F13:F15" si="4">$E$8/C4</f>
        <v>2</v>
      </c>
      <c r="G13" s="9">
        <f t="shared" ref="G13:G15" si="5">$E$8/B4</f>
        <v>2</v>
      </c>
      <c r="H13" s="9">
        <f t="shared" ref="H13:J13" si="6">H4/$H$7</f>
        <v>0.25</v>
      </c>
      <c r="I13" s="9">
        <f t="shared" si="6"/>
        <v>0.375</v>
      </c>
      <c r="J13" s="9">
        <f t="shared" si="6"/>
        <v>0.875</v>
      </c>
      <c r="K13" s="9">
        <f t="shared" ref="K13:M13" si="7">K4/$K$7</f>
        <v>0.42857142857142855</v>
      </c>
      <c r="L13" s="9">
        <f t="shared" si="7"/>
        <v>0.7142857142857143</v>
      </c>
      <c r="M13" s="9">
        <f t="shared" si="7"/>
        <v>1</v>
      </c>
    </row>
    <row r="14" spans="1:13" ht="15.75" thickBot="1" x14ac:dyDescent="0.3">
      <c r="A14" s="9" t="s">
        <v>2</v>
      </c>
      <c r="B14" s="9">
        <f t="shared" si="0"/>
        <v>0.14285714285714285</v>
      </c>
      <c r="C14" s="9">
        <f t="shared" si="1"/>
        <v>0.2</v>
      </c>
      <c r="D14" s="9">
        <f t="shared" si="2"/>
        <v>0.33333333333333331</v>
      </c>
      <c r="E14" s="9">
        <f t="shared" si="3"/>
        <v>0.2857142857142857</v>
      </c>
      <c r="F14" s="9">
        <f t="shared" si="4"/>
        <v>0.4</v>
      </c>
      <c r="G14" s="9">
        <f t="shared" si="5"/>
        <v>0.66666666666666663</v>
      </c>
      <c r="H14" s="9">
        <f t="shared" ref="H14:J14" si="8">H5/$H$7</f>
        <v>0.625</v>
      </c>
      <c r="I14" s="9">
        <f t="shared" si="8"/>
        <v>0.875</v>
      </c>
      <c r="J14" s="9">
        <f t="shared" si="8"/>
        <v>1</v>
      </c>
      <c r="K14" s="9">
        <f t="shared" ref="K14:M14" si="9">K5/$K$7</f>
        <v>0.2857142857142857</v>
      </c>
      <c r="L14" s="9">
        <f t="shared" si="9"/>
        <v>0.42857142857142855</v>
      </c>
      <c r="M14" s="9">
        <f t="shared" si="9"/>
        <v>0.8571428571428571</v>
      </c>
    </row>
    <row r="15" spans="1:13" ht="15.75" thickBot="1" x14ac:dyDescent="0.3">
      <c r="A15" s="5" t="s">
        <v>3</v>
      </c>
      <c r="B15" s="9">
        <f t="shared" si="0"/>
        <v>0.16666666666666666</v>
      </c>
      <c r="C15" s="9">
        <f t="shared" si="1"/>
        <v>0.33333333333333331</v>
      </c>
      <c r="D15" s="9">
        <f t="shared" si="2"/>
        <v>0.5</v>
      </c>
      <c r="E15" s="9">
        <f t="shared" si="3"/>
        <v>0.33333333333333331</v>
      </c>
      <c r="F15" s="9">
        <f t="shared" si="4"/>
        <v>0.66666666666666663</v>
      </c>
      <c r="G15" s="9">
        <f t="shared" si="5"/>
        <v>1</v>
      </c>
      <c r="H15" s="9">
        <f t="shared" ref="H15:J15" si="10">H6/$H$7</f>
        <v>0.25</v>
      </c>
      <c r="I15" s="9">
        <f t="shared" si="10"/>
        <v>0.375</v>
      </c>
      <c r="J15" s="9">
        <f t="shared" si="10"/>
        <v>0.625</v>
      </c>
      <c r="K15" s="9">
        <f t="shared" ref="K15:M15" si="11">K6/$K$7</f>
        <v>0.5714285714285714</v>
      </c>
      <c r="L15" s="9">
        <f t="shared" si="11"/>
        <v>0.7142857142857143</v>
      </c>
      <c r="M15" s="9">
        <f t="shared" si="11"/>
        <v>1</v>
      </c>
    </row>
    <row r="20" spans="1:13" ht="26.25" x14ac:dyDescent="0.4">
      <c r="A20" s="2"/>
      <c r="B20" s="20" t="s">
        <v>13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s="17" customFormat="1" ht="15.75" x14ac:dyDescent="0.25">
      <c r="A21" s="16"/>
      <c r="B21" s="1"/>
      <c r="C21" s="1">
        <v>0.2</v>
      </c>
      <c r="D21" s="1"/>
      <c r="E21" s="1"/>
      <c r="F21" s="1">
        <v>0.3</v>
      </c>
      <c r="G21" s="1"/>
      <c r="H21" s="1"/>
      <c r="I21" s="1">
        <v>0.25</v>
      </c>
      <c r="J21" s="1"/>
      <c r="K21" s="1"/>
      <c r="L21" s="1">
        <v>0.25</v>
      </c>
      <c r="M21" s="1"/>
    </row>
    <row r="22" spans="1:13" x14ac:dyDescent="0.25">
      <c r="A22" s="5"/>
      <c r="B22" s="6" t="s">
        <v>14</v>
      </c>
      <c r="C22" s="7"/>
      <c r="D22" s="8"/>
      <c r="E22" s="6" t="s">
        <v>15</v>
      </c>
      <c r="F22" s="7"/>
      <c r="G22" s="8"/>
      <c r="H22" s="6" t="s">
        <v>16</v>
      </c>
      <c r="I22" s="7"/>
      <c r="J22" s="8"/>
      <c r="K22" s="6" t="s">
        <v>17</v>
      </c>
      <c r="L22" s="7"/>
      <c r="M22" s="8"/>
    </row>
    <row r="23" spans="1:13" ht="15.75" thickBot="1" x14ac:dyDescent="0.3">
      <c r="A23" s="9" t="s">
        <v>0</v>
      </c>
      <c r="B23" s="9">
        <f>B12*$C$21</f>
        <v>4.0000000000000008E-2</v>
      </c>
      <c r="C23" s="9">
        <f>C12*$C$21</f>
        <v>6.6666666666666666E-2</v>
      </c>
      <c r="D23" s="9">
        <f>D12*$C$21</f>
        <v>0.2</v>
      </c>
      <c r="E23" s="9">
        <f>E12*$F$21</f>
        <v>0.12</v>
      </c>
      <c r="F23" s="9">
        <f>F12*$F$21</f>
        <v>0.19999999999999998</v>
      </c>
      <c r="G23" s="9">
        <f>G12*$F$21</f>
        <v>0.6</v>
      </c>
      <c r="H23" s="9">
        <f>H12*$I$21</f>
        <v>9.375E-2</v>
      </c>
      <c r="I23" s="9">
        <f>I12*$I$21</f>
        <v>0.15625</v>
      </c>
      <c r="J23" s="9">
        <f>J12*$I$21</f>
        <v>0.21875</v>
      </c>
      <c r="K23" s="9">
        <f>K12*$L$21</f>
        <v>3.5714285714285712E-2</v>
      </c>
      <c r="L23" s="9">
        <f>L12*$L$21</f>
        <v>3.5714285714285712E-2</v>
      </c>
      <c r="M23" s="9">
        <f>M12*$L$21</f>
        <v>3.5714285714285712E-2</v>
      </c>
    </row>
    <row r="24" spans="1:13" ht="15.75" thickBot="1" x14ac:dyDescent="0.3">
      <c r="A24" s="5" t="s">
        <v>1</v>
      </c>
      <c r="B24" s="9">
        <f t="shared" ref="B24:D24" si="12">B13*$C$21</f>
        <v>6.6666666666666666E-2</v>
      </c>
      <c r="C24" s="9">
        <f t="shared" si="12"/>
        <v>0.2</v>
      </c>
      <c r="D24" s="9">
        <f t="shared" si="12"/>
        <v>0.2</v>
      </c>
      <c r="E24" s="9">
        <f t="shared" ref="E24:G24" si="13">E13*$F$21</f>
        <v>0.19999999999999998</v>
      </c>
      <c r="F24" s="9">
        <f t="shared" si="13"/>
        <v>0.6</v>
      </c>
      <c r="G24" s="9">
        <f t="shared" si="13"/>
        <v>0.6</v>
      </c>
      <c r="H24" s="9">
        <f t="shared" ref="H24:J24" si="14">H13*$I$21</f>
        <v>6.25E-2</v>
      </c>
      <c r="I24" s="9">
        <f t="shared" si="14"/>
        <v>9.375E-2</v>
      </c>
      <c r="J24" s="9">
        <f t="shared" si="14"/>
        <v>0.21875</v>
      </c>
      <c r="K24" s="9">
        <f t="shared" ref="K24:M24" si="15">K13*$L$21</f>
        <v>0.10714285714285714</v>
      </c>
      <c r="L24" s="9">
        <f t="shared" si="15"/>
        <v>0.17857142857142858</v>
      </c>
      <c r="M24" s="9">
        <f t="shared" si="15"/>
        <v>0.25</v>
      </c>
    </row>
    <row r="25" spans="1:13" ht="15.75" thickBot="1" x14ac:dyDescent="0.3">
      <c r="A25" s="9" t="s">
        <v>2</v>
      </c>
      <c r="B25" s="9">
        <f t="shared" ref="B25:D25" si="16">B14*$C$21</f>
        <v>2.8571428571428571E-2</v>
      </c>
      <c r="C25" s="9">
        <f t="shared" si="16"/>
        <v>4.0000000000000008E-2</v>
      </c>
      <c r="D25" s="9">
        <f t="shared" si="16"/>
        <v>6.6666666666666666E-2</v>
      </c>
      <c r="E25" s="9">
        <f t="shared" ref="E25:G25" si="17">E14*$F$21</f>
        <v>8.5714285714285701E-2</v>
      </c>
      <c r="F25" s="9">
        <f t="shared" si="17"/>
        <v>0.12</v>
      </c>
      <c r="G25" s="9">
        <f t="shared" si="17"/>
        <v>0.19999999999999998</v>
      </c>
      <c r="H25" s="9">
        <f t="shared" ref="H25:J25" si="18">H14*$I$21</f>
        <v>0.15625</v>
      </c>
      <c r="I25" s="9">
        <f t="shared" si="18"/>
        <v>0.21875</v>
      </c>
      <c r="J25" s="9">
        <f t="shared" si="18"/>
        <v>0.25</v>
      </c>
      <c r="K25" s="9">
        <f t="shared" ref="K25:M25" si="19">K14*$L$21</f>
        <v>7.1428571428571425E-2</v>
      </c>
      <c r="L25" s="9">
        <f t="shared" si="19"/>
        <v>0.10714285714285714</v>
      </c>
      <c r="M25" s="9">
        <f t="shared" si="19"/>
        <v>0.21428571428571427</v>
      </c>
    </row>
    <row r="26" spans="1:13" ht="15.75" thickBot="1" x14ac:dyDescent="0.3">
      <c r="A26" s="5" t="s">
        <v>3</v>
      </c>
      <c r="B26" s="9">
        <f t="shared" ref="B26:D26" si="20">B15*$C$21</f>
        <v>3.3333333333333333E-2</v>
      </c>
      <c r="C26" s="9">
        <f t="shared" si="20"/>
        <v>6.6666666666666666E-2</v>
      </c>
      <c r="D26" s="9">
        <f t="shared" si="20"/>
        <v>0.1</v>
      </c>
      <c r="E26" s="9">
        <f t="shared" ref="E26:G26" si="21">E15*$F$21</f>
        <v>9.9999999999999992E-2</v>
      </c>
      <c r="F26" s="9">
        <f t="shared" si="21"/>
        <v>0.19999999999999998</v>
      </c>
      <c r="G26" s="9">
        <f t="shared" si="21"/>
        <v>0.3</v>
      </c>
      <c r="H26" s="9">
        <f t="shared" ref="H26:J26" si="22">H15*$I$21</f>
        <v>6.25E-2</v>
      </c>
      <c r="I26" s="9">
        <f t="shared" si="22"/>
        <v>9.375E-2</v>
      </c>
      <c r="J26" s="9">
        <f t="shared" si="22"/>
        <v>0.15625</v>
      </c>
      <c r="K26" s="9">
        <f t="shared" ref="K26:M26" si="23">K15*$L$21</f>
        <v>0.14285714285714285</v>
      </c>
      <c r="L26" s="9">
        <f t="shared" si="23"/>
        <v>0.17857142857142858</v>
      </c>
      <c r="M26" s="9">
        <f t="shared" si="23"/>
        <v>0.25</v>
      </c>
    </row>
    <row r="28" spans="1:13" x14ac:dyDescent="0.25">
      <c r="A28" s="11" t="s">
        <v>6</v>
      </c>
      <c r="B28" s="12">
        <f>MAX(D23:D26)</f>
        <v>0.2</v>
      </c>
      <c r="C28" s="13"/>
      <c r="D28" s="14"/>
      <c r="E28" s="12">
        <f t="shared" ref="E28" si="24">MAX(G23:G26)</f>
        <v>0.6</v>
      </c>
      <c r="F28" s="13"/>
      <c r="G28" s="14"/>
      <c r="H28" s="12">
        <f t="shared" ref="H28" si="25">MAX(J23:J26)</f>
        <v>0.25</v>
      </c>
      <c r="I28" s="13"/>
      <c r="J28" s="14"/>
      <c r="K28" s="12">
        <f t="shared" ref="K28" si="26">MAX(M23:M26)</f>
        <v>0.25</v>
      </c>
      <c r="L28" s="13"/>
      <c r="M28" s="14"/>
    </row>
    <row r="29" spans="1:13" x14ac:dyDescent="0.25">
      <c r="A29" s="11" t="s">
        <v>7</v>
      </c>
      <c r="B29" s="15">
        <f>MIN(B23:B26)</f>
        <v>2.8571428571428571E-2</v>
      </c>
      <c r="C29" s="15"/>
      <c r="D29" s="15"/>
      <c r="E29" s="15">
        <f t="shared" ref="E29:M29" si="27">MIN(E23:E26)</f>
        <v>8.5714285714285701E-2</v>
      </c>
      <c r="F29" s="15"/>
      <c r="G29" s="15"/>
      <c r="H29" s="15">
        <f t="shared" ref="H29:M29" si="28">MIN(H23:H26)</f>
        <v>6.25E-2</v>
      </c>
      <c r="I29" s="15"/>
      <c r="J29" s="15"/>
      <c r="K29" s="15">
        <f t="shared" ref="K29:M29" si="29">MIN(K23:K26)</f>
        <v>3.5714285714285712E-2</v>
      </c>
      <c r="L29" s="15"/>
      <c r="M29" s="15"/>
    </row>
    <row r="31" spans="1:13" x14ac:dyDescent="0.25">
      <c r="A31" s="18"/>
      <c r="B31" s="21" t="s">
        <v>8</v>
      </c>
      <c r="C31" s="21" t="s">
        <v>9</v>
      </c>
    </row>
    <row r="32" spans="1:13" x14ac:dyDescent="0.25">
      <c r="A32" s="18" t="s">
        <v>0</v>
      </c>
      <c r="B32" s="19">
        <f>(((B23-$B$28)^2+(C23-$B$28)^2+(D23-$B$28)^2)/3)^0.5+(((E23-$E$28)^2+(F23-$E$28)^2+(G23-$E$28)^2)/3)^0.5+(((H23-$H$28)^2+(I23-$H$28)^2+(J23-$H$28)^2)/3)^0.5+(((K23-$K$28)^2+(L23-$K$28)^2+(M23-$K$28)^2)/3)^0.5</f>
        <v>0.80201142506556888</v>
      </c>
      <c r="C32" s="19">
        <f>(((B23-$B$29)^2+(C23-$B$29)^2+(D23-$B$29)^2)/3)^0.5+(((E23-$E$29)^2+(F23-$E$29)^2+(G23-$E$29)^2)/3)^0.5+(((H23-$H$29)^2+(I23-$H$29)^2+(J23-$H$29)^2)/3)^0.5+(((K23-$K$29)^2+(L23-$K$29)^2+(M23-$K$29)^2)/3)^0.5</f>
        <v>0.51315176393190165</v>
      </c>
    </row>
    <row r="33" spans="1:3" x14ac:dyDescent="0.25">
      <c r="A33" s="18" t="s">
        <v>1</v>
      </c>
      <c r="B33" s="19">
        <f t="shared" ref="B33:B35" si="30">(((B24-$B$28)^2+(C24-$B$28)^2+(D24-$B$28)^2)/3)^0.5+(((E24-$E$28)^2+(F24-$E$28)^2+(G24-$E$28)^2)/3)^0.5+(((H24-$H$28)^2+(I24-$H$28)^2+(J24-$H$28)^2)/3)^0.5+(((K24-$K$28)^2+(L24-$K$28)^2+(M24-$K$28)^2)/3)^0.5</f>
        <v>0.54219842544015107</v>
      </c>
      <c r="C33" s="19">
        <f t="shared" ref="C33:C35" si="31">(((B24-$B$29)^2+(C24-$B$29)^2+(D24-$B$29)^2)/3)^0.5+(((E24-$E$29)^2+(F24-$E$29)^2+(G24-$E$29)^2)/3)^0.5+(((H24-$H$29)^2+(I24-$H$29)^2+(J24-$H$29)^2)/3)^0.5+(((K24-$K$29)^2+(L24-$K$29)^2+(M24-$K$29)^2)/3)^0.5</f>
        <v>0.81305422036847108</v>
      </c>
    </row>
    <row r="34" spans="1:3" x14ac:dyDescent="0.25">
      <c r="A34" s="18" t="s">
        <v>2</v>
      </c>
      <c r="B34" s="19">
        <f t="shared" si="30"/>
        <v>0.81364800800502102</v>
      </c>
      <c r="C34" s="19">
        <f t="shared" si="31"/>
        <v>0.35574120551545574</v>
      </c>
    </row>
    <row r="35" spans="1:3" x14ac:dyDescent="0.25">
      <c r="A35" s="18" t="s">
        <v>3</v>
      </c>
      <c r="B35" s="19">
        <f t="shared" si="30"/>
        <v>0.76962810932460501</v>
      </c>
      <c r="C35" s="19">
        <f t="shared" si="31"/>
        <v>0.40537374905525825</v>
      </c>
    </row>
    <row r="38" spans="1:3" x14ac:dyDescent="0.25">
      <c r="A38" s="18"/>
      <c r="B38" s="21" t="s">
        <v>10</v>
      </c>
      <c r="C38" s="22" t="s">
        <v>18</v>
      </c>
    </row>
    <row r="39" spans="1:3" x14ac:dyDescent="0.25">
      <c r="A39" s="18" t="s">
        <v>0</v>
      </c>
      <c r="B39" s="19">
        <f>C32/(B32+C32)</f>
        <v>0.39018105754850818</v>
      </c>
      <c r="C39" s="4">
        <f>B39/SUM(B39:B42)</f>
        <v>0.23801415272679449</v>
      </c>
    </row>
    <row r="40" spans="1:3" x14ac:dyDescent="0.25">
      <c r="A40" s="18" t="s">
        <v>1</v>
      </c>
      <c r="B40" s="19">
        <f t="shared" ref="B40:B42" si="32">C33/(B33+C33)</f>
        <v>0.59992815574497982</v>
      </c>
      <c r="C40" s="4">
        <f t="shared" ref="C40:C42" si="33">B40/SUM(B40:B43)</f>
        <v>0.48027384894174896</v>
      </c>
    </row>
    <row r="41" spans="1:3" x14ac:dyDescent="0.25">
      <c r="A41" s="18" t="s">
        <v>2</v>
      </c>
      <c r="B41" s="19">
        <f t="shared" si="32"/>
        <v>0.30421112269753847</v>
      </c>
      <c r="C41" s="4">
        <f t="shared" si="33"/>
        <v>0.46858697674688665</v>
      </c>
    </row>
    <row r="42" spans="1:3" x14ac:dyDescent="0.25">
      <c r="A42" s="18" t="s">
        <v>3</v>
      </c>
      <c r="B42" s="19">
        <f t="shared" si="32"/>
        <v>0.34499838971676422</v>
      </c>
      <c r="C42" s="4">
        <f t="shared" si="33"/>
        <v>1</v>
      </c>
    </row>
  </sheetData>
  <mergeCells count="31">
    <mergeCell ref="K28:M28"/>
    <mergeCell ref="H29:J29"/>
    <mergeCell ref="K29:M29"/>
    <mergeCell ref="B28:D28"/>
    <mergeCell ref="B29:D29"/>
    <mergeCell ref="E28:G28"/>
    <mergeCell ref="E29:G29"/>
    <mergeCell ref="H28:J28"/>
    <mergeCell ref="B20:M20"/>
    <mergeCell ref="B22:D22"/>
    <mergeCell ref="E22:G22"/>
    <mergeCell ref="H22:J22"/>
    <mergeCell ref="K22:M22"/>
    <mergeCell ref="K7:M7"/>
    <mergeCell ref="H7:J7"/>
    <mergeCell ref="E8:G8"/>
    <mergeCell ref="B8:D8"/>
    <mergeCell ref="H8:J8"/>
    <mergeCell ref="K8:M8"/>
    <mergeCell ref="E7:G7"/>
    <mergeCell ref="B7:D7"/>
    <mergeCell ref="B10:M10"/>
    <mergeCell ref="B11:D11"/>
    <mergeCell ref="E11:G11"/>
    <mergeCell ref="H11:J11"/>
    <mergeCell ref="K11:M11"/>
    <mergeCell ref="B1:M1"/>
    <mergeCell ref="B2:D2"/>
    <mergeCell ref="E2:G2"/>
    <mergeCell ref="H2:J2"/>
    <mergeCell ref="K2:M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97D9-D083-4AD3-A0C2-1AAE1D2E6A27}">
  <dimension ref="A1:M42"/>
  <sheetViews>
    <sheetView topLeftCell="A29" workbookViewId="0">
      <selection activeCell="B54" sqref="B54:B56"/>
    </sheetView>
  </sheetViews>
  <sheetFormatPr defaultRowHeight="15" x14ac:dyDescent="0.25"/>
  <cols>
    <col min="1" max="16384" width="9.140625" style="4"/>
  </cols>
  <sheetData>
    <row r="1" spans="1:13" ht="26.25" x14ac:dyDescent="0.4">
      <c r="A1" s="2"/>
      <c r="B1" s="3" t="s">
        <v>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5"/>
      <c r="B2" s="6" t="s">
        <v>14</v>
      </c>
      <c r="C2" s="7"/>
      <c r="D2" s="8"/>
      <c r="E2" s="6" t="s">
        <v>15</v>
      </c>
      <c r="F2" s="7"/>
      <c r="G2" s="8"/>
      <c r="H2" s="6" t="s">
        <v>16</v>
      </c>
      <c r="I2" s="7"/>
      <c r="J2" s="8"/>
      <c r="K2" s="6" t="s">
        <v>17</v>
      </c>
      <c r="L2" s="7"/>
      <c r="M2" s="8"/>
    </row>
    <row r="3" spans="1:13" ht="15.75" thickBot="1" x14ac:dyDescent="0.3">
      <c r="A3" s="9" t="s">
        <v>0</v>
      </c>
      <c r="B3" s="9">
        <v>1</v>
      </c>
      <c r="C3" s="9">
        <v>3</v>
      </c>
      <c r="D3" s="9">
        <v>5</v>
      </c>
      <c r="E3" s="9">
        <v>2</v>
      </c>
      <c r="F3" s="9">
        <v>3</v>
      </c>
      <c r="G3" s="9">
        <v>5</v>
      </c>
      <c r="H3" s="9">
        <v>3</v>
      </c>
      <c r="I3" s="9">
        <v>5</v>
      </c>
      <c r="J3" s="9">
        <v>7</v>
      </c>
      <c r="K3" s="9">
        <v>1</v>
      </c>
      <c r="L3" s="9">
        <v>1</v>
      </c>
      <c r="M3" s="9">
        <v>1</v>
      </c>
    </row>
    <row r="4" spans="1:13" ht="15.75" thickBot="1" x14ac:dyDescent="0.3">
      <c r="A4" s="5" t="s">
        <v>1</v>
      </c>
      <c r="B4" s="9">
        <v>1</v>
      </c>
      <c r="C4" s="9">
        <v>1</v>
      </c>
      <c r="D4" s="9">
        <v>3</v>
      </c>
      <c r="E4" s="9">
        <v>7</v>
      </c>
      <c r="F4" s="9">
        <v>9</v>
      </c>
      <c r="G4" s="9">
        <v>11</v>
      </c>
      <c r="H4" s="9">
        <v>2</v>
      </c>
      <c r="I4" s="9">
        <v>3</v>
      </c>
      <c r="J4" s="9">
        <v>7</v>
      </c>
      <c r="K4" s="9">
        <v>3</v>
      </c>
      <c r="L4" s="9">
        <v>5</v>
      </c>
      <c r="M4" s="9">
        <v>7</v>
      </c>
    </row>
    <row r="5" spans="1:13" ht="15.75" thickBot="1" x14ac:dyDescent="0.3">
      <c r="A5" s="9" t="s">
        <v>2</v>
      </c>
      <c r="B5" s="9">
        <v>3</v>
      </c>
      <c r="C5" s="9">
        <v>5</v>
      </c>
      <c r="D5" s="9">
        <v>7</v>
      </c>
      <c r="E5" s="9">
        <v>3</v>
      </c>
      <c r="F5" s="9">
        <v>5</v>
      </c>
      <c r="G5" s="9">
        <v>7</v>
      </c>
      <c r="H5" s="9">
        <v>5</v>
      </c>
      <c r="I5" s="9">
        <v>7</v>
      </c>
      <c r="J5" s="9">
        <v>8</v>
      </c>
      <c r="K5" s="9">
        <v>2</v>
      </c>
      <c r="L5" s="9">
        <v>3</v>
      </c>
      <c r="M5" s="9">
        <v>6</v>
      </c>
    </row>
    <row r="6" spans="1:13" x14ac:dyDescent="0.25">
      <c r="A6" s="10" t="s">
        <v>3</v>
      </c>
      <c r="B6" s="10">
        <v>2</v>
      </c>
      <c r="C6" s="10">
        <v>3</v>
      </c>
      <c r="D6" s="10">
        <v>6</v>
      </c>
      <c r="E6" s="10">
        <v>3</v>
      </c>
      <c r="F6" s="10">
        <v>5</v>
      </c>
      <c r="G6" s="10">
        <v>7</v>
      </c>
      <c r="H6" s="10">
        <v>2</v>
      </c>
      <c r="I6" s="10">
        <v>3</v>
      </c>
      <c r="J6" s="10">
        <v>5</v>
      </c>
      <c r="K6" s="10">
        <v>4</v>
      </c>
      <c r="L6" s="10">
        <v>5</v>
      </c>
      <c r="M6" s="10">
        <v>7</v>
      </c>
    </row>
    <row r="7" spans="1:13" x14ac:dyDescent="0.25">
      <c r="A7" s="11" t="s">
        <v>4</v>
      </c>
      <c r="B7" s="12"/>
      <c r="C7" s="13"/>
      <c r="D7" s="14"/>
      <c r="E7" s="12"/>
      <c r="F7" s="13"/>
      <c r="G7" s="14"/>
      <c r="H7" s="15">
        <f>MAX(J3:J6)</f>
        <v>8</v>
      </c>
      <c r="I7" s="15"/>
      <c r="J7" s="15"/>
      <c r="K7" s="15">
        <f>MAX(M3:M6)</f>
        <v>7</v>
      </c>
      <c r="L7" s="15"/>
      <c r="M7" s="15"/>
    </row>
    <row r="8" spans="1:13" x14ac:dyDescent="0.25">
      <c r="A8" s="11" t="s">
        <v>5</v>
      </c>
      <c r="B8" s="15">
        <f>MIN(B3:B6)</f>
        <v>1</v>
      </c>
      <c r="C8" s="15"/>
      <c r="D8" s="15"/>
      <c r="E8" s="15">
        <f>MIN(E3:E6)</f>
        <v>2</v>
      </c>
      <c r="F8" s="15"/>
      <c r="G8" s="15"/>
      <c r="H8" s="12"/>
      <c r="I8" s="13"/>
      <c r="J8" s="14"/>
      <c r="K8" s="12"/>
      <c r="L8" s="13"/>
      <c r="M8" s="14"/>
    </row>
    <row r="10" spans="1:13" ht="26.25" x14ac:dyDescent="0.4">
      <c r="A10" s="2"/>
      <c r="B10" s="3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5"/>
      <c r="B11" s="6" t="s">
        <v>14</v>
      </c>
      <c r="C11" s="7"/>
      <c r="D11" s="8"/>
      <c r="E11" s="6" t="s">
        <v>15</v>
      </c>
      <c r="F11" s="7"/>
      <c r="G11" s="8"/>
      <c r="H11" s="6" t="s">
        <v>16</v>
      </c>
      <c r="I11" s="7"/>
      <c r="J11" s="8"/>
      <c r="K11" s="6" t="s">
        <v>17</v>
      </c>
      <c r="L11" s="7"/>
      <c r="M11" s="8"/>
    </row>
    <row r="12" spans="1:13" ht="15.75" thickBot="1" x14ac:dyDescent="0.3">
      <c r="A12" s="9" t="s">
        <v>0</v>
      </c>
      <c r="B12" s="9">
        <f>$B$8/D3</f>
        <v>0.2</v>
      </c>
      <c r="C12" s="9">
        <f>$B$8/C3</f>
        <v>0.33333333333333331</v>
      </c>
      <c r="D12" s="9">
        <f>$B$8/B3</f>
        <v>1</v>
      </c>
      <c r="E12" s="9">
        <f>$E$8/G3</f>
        <v>0.4</v>
      </c>
      <c r="F12" s="9">
        <f>$E$8/F3</f>
        <v>0.66666666666666663</v>
      </c>
      <c r="G12" s="9">
        <f>$E$8/E3</f>
        <v>1</v>
      </c>
      <c r="H12" s="9">
        <f>H3/$H$7</f>
        <v>0.375</v>
      </c>
      <c r="I12" s="9">
        <f>I3/$H$7</f>
        <v>0.625</v>
      </c>
      <c r="J12" s="9">
        <f>J3/$H$7</f>
        <v>0.875</v>
      </c>
      <c r="K12" s="9">
        <f>K3/$K$7</f>
        <v>0.14285714285714285</v>
      </c>
      <c r="L12" s="9">
        <f>L3/$K$7</f>
        <v>0.14285714285714285</v>
      </c>
      <c r="M12" s="9">
        <f>M3/$K$7</f>
        <v>0.14285714285714285</v>
      </c>
    </row>
    <row r="13" spans="1:13" ht="15.75" thickBot="1" x14ac:dyDescent="0.3">
      <c r="A13" s="5" t="s">
        <v>1</v>
      </c>
      <c r="B13" s="9">
        <f>$B$8/D4</f>
        <v>0.33333333333333331</v>
      </c>
      <c r="C13" s="9">
        <f>$B$8/C4</f>
        <v>1</v>
      </c>
      <c r="D13" s="9">
        <f>$B$8/B4</f>
        <v>1</v>
      </c>
      <c r="E13" s="9">
        <f t="shared" ref="E13:E15" si="0">$E$8/G4</f>
        <v>0.18181818181818182</v>
      </c>
      <c r="F13" s="9">
        <f t="shared" ref="F13:F15" si="1">$E$8/F4</f>
        <v>0.22222222222222221</v>
      </c>
      <c r="G13" s="9">
        <f>$E$8/E4</f>
        <v>0.2857142857142857</v>
      </c>
      <c r="H13" s="9">
        <f t="shared" ref="H13:J14" si="2">H4/$H$7</f>
        <v>0.25</v>
      </c>
      <c r="I13" s="9">
        <f t="shared" si="2"/>
        <v>0.375</v>
      </c>
      <c r="J13" s="9">
        <f t="shared" si="2"/>
        <v>0.875</v>
      </c>
      <c r="K13" s="9">
        <f t="shared" ref="K13:M14" si="3">K4/$K$7</f>
        <v>0.42857142857142855</v>
      </c>
      <c r="L13" s="9">
        <f t="shared" si="3"/>
        <v>0.7142857142857143</v>
      </c>
      <c r="M13" s="9">
        <f t="shared" si="3"/>
        <v>1</v>
      </c>
    </row>
    <row r="14" spans="1:13" ht="15.75" thickBot="1" x14ac:dyDescent="0.3">
      <c r="A14" s="9" t="s">
        <v>2</v>
      </c>
      <c r="B14" s="9">
        <f t="shared" ref="B14" si="4">$B$8/D5</f>
        <v>0.14285714285714285</v>
      </c>
      <c r="C14" s="9">
        <f t="shared" ref="C14:C15" si="5">$B$8/C5</f>
        <v>0.2</v>
      </c>
      <c r="D14" s="9">
        <f t="shared" ref="D14" si="6">$B$8/B5</f>
        <v>0.33333333333333331</v>
      </c>
      <c r="E14" s="9">
        <f>$E$8/G5</f>
        <v>0.2857142857142857</v>
      </c>
      <c r="F14" s="9">
        <f t="shared" si="1"/>
        <v>0.4</v>
      </c>
      <c r="G14" s="9">
        <f t="shared" ref="G14:G15" si="7">$E$8/E5</f>
        <v>0.66666666666666663</v>
      </c>
      <c r="H14" s="9">
        <f>H5/$H$7</f>
        <v>0.625</v>
      </c>
      <c r="I14" s="9">
        <f t="shared" si="2"/>
        <v>0.875</v>
      </c>
      <c r="J14" s="9">
        <f t="shared" si="2"/>
        <v>1</v>
      </c>
      <c r="K14" s="9">
        <f>K5/$K$7</f>
        <v>0.2857142857142857</v>
      </c>
      <c r="L14" s="9">
        <f t="shared" si="3"/>
        <v>0.42857142857142855</v>
      </c>
      <c r="M14" s="9">
        <f t="shared" si="3"/>
        <v>0.8571428571428571</v>
      </c>
    </row>
    <row r="15" spans="1:13" ht="15.75" thickBot="1" x14ac:dyDescent="0.3">
      <c r="A15" s="5" t="s">
        <v>3</v>
      </c>
      <c r="B15" s="9">
        <f>$B$8/D6</f>
        <v>0.16666666666666666</v>
      </c>
      <c r="C15" s="9">
        <f t="shared" si="5"/>
        <v>0.33333333333333331</v>
      </c>
      <c r="D15" s="9">
        <f>$B$8/B6</f>
        <v>0.5</v>
      </c>
      <c r="E15" s="9">
        <f t="shared" si="0"/>
        <v>0.2857142857142857</v>
      </c>
      <c r="F15" s="9">
        <f t="shared" si="1"/>
        <v>0.4</v>
      </c>
      <c r="G15" s="9">
        <f t="shared" si="7"/>
        <v>0.66666666666666663</v>
      </c>
      <c r="H15" s="9">
        <f t="shared" ref="H15:J15" si="8">H6/$H$7</f>
        <v>0.25</v>
      </c>
      <c r="I15" s="9">
        <f t="shared" si="8"/>
        <v>0.375</v>
      </c>
      <c r="J15" s="9">
        <f t="shared" si="8"/>
        <v>0.625</v>
      </c>
      <c r="K15" s="9">
        <f t="shared" ref="K15:M15" si="9">K6/$K$7</f>
        <v>0.5714285714285714</v>
      </c>
      <c r="L15" s="9">
        <f t="shared" si="9"/>
        <v>0.7142857142857143</v>
      </c>
      <c r="M15" s="9">
        <f t="shared" si="9"/>
        <v>1</v>
      </c>
    </row>
    <row r="20" spans="1:13" ht="26.25" x14ac:dyDescent="0.4">
      <c r="A20" s="2"/>
      <c r="B20" s="3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s="17" customFormat="1" ht="15.75" x14ac:dyDescent="0.25">
      <c r="A21" s="16"/>
      <c r="B21" s="1"/>
      <c r="C21" s="1">
        <v>0.2</v>
      </c>
      <c r="D21" s="1"/>
      <c r="E21" s="1"/>
      <c r="F21" s="1">
        <v>0.3</v>
      </c>
      <c r="G21" s="1"/>
      <c r="H21" s="1"/>
      <c r="I21" s="1">
        <v>0.25</v>
      </c>
      <c r="J21" s="1"/>
      <c r="K21" s="1"/>
      <c r="L21" s="1">
        <v>0.25</v>
      </c>
      <c r="M21" s="1"/>
    </row>
    <row r="22" spans="1:13" x14ac:dyDescent="0.25">
      <c r="A22" s="5"/>
      <c r="B22" s="6" t="s">
        <v>14</v>
      </c>
      <c r="C22" s="7"/>
      <c r="D22" s="8"/>
      <c r="E22" s="6" t="s">
        <v>15</v>
      </c>
      <c r="F22" s="7"/>
      <c r="G22" s="8"/>
      <c r="H22" s="6" t="s">
        <v>16</v>
      </c>
      <c r="I22" s="7"/>
      <c r="J22" s="8"/>
      <c r="K22" s="6" t="s">
        <v>17</v>
      </c>
      <c r="L22" s="7"/>
      <c r="M22" s="8"/>
    </row>
    <row r="23" spans="1:13" ht="15.75" thickBot="1" x14ac:dyDescent="0.3">
      <c r="A23" s="9" t="s">
        <v>0</v>
      </c>
      <c r="B23" s="9">
        <f>B12*C21</f>
        <v>4.0000000000000008E-2</v>
      </c>
      <c r="C23" s="9">
        <f>C12*C21</f>
        <v>6.6666666666666666E-2</v>
      </c>
      <c r="D23" s="9">
        <f>D12*C21</f>
        <v>0.2</v>
      </c>
      <c r="E23" s="9">
        <f>E12*F21</f>
        <v>0.12</v>
      </c>
      <c r="F23" s="9">
        <f t="shared" ref="F23" si="10">F12*F21</f>
        <v>0.19999999999999998</v>
      </c>
      <c r="G23" s="9">
        <f>G12*F21</f>
        <v>0.3</v>
      </c>
      <c r="H23" s="9">
        <f t="shared" ref="H23" si="11">H12*I21</f>
        <v>9.375E-2</v>
      </c>
      <c r="I23" s="9">
        <f t="shared" ref="I23" si="12">I12*I21</f>
        <v>0.15625</v>
      </c>
      <c r="J23" s="9">
        <f t="shared" ref="J23" si="13">J12*I21</f>
        <v>0.21875</v>
      </c>
      <c r="K23" s="9">
        <f t="shared" ref="K23" si="14">K12*L21</f>
        <v>3.5714285714285712E-2</v>
      </c>
      <c r="L23" s="9">
        <f t="shared" ref="L23" si="15">L12*L21</f>
        <v>3.5714285714285712E-2</v>
      </c>
      <c r="M23" s="9">
        <f t="shared" ref="M23" si="16">M12*L21</f>
        <v>3.5714285714285712E-2</v>
      </c>
    </row>
    <row r="24" spans="1:13" ht="15.75" thickBot="1" x14ac:dyDescent="0.3">
      <c r="A24" s="5" t="s">
        <v>1</v>
      </c>
      <c r="B24" s="9">
        <f t="shared" ref="B24:C26" si="17">B13*$C$21</f>
        <v>6.6666666666666666E-2</v>
      </c>
      <c r="C24" s="9">
        <f t="shared" si="17"/>
        <v>0.2</v>
      </c>
      <c r="D24" s="9">
        <f t="shared" ref="D24:D26" si="18">D13*$D$21</f>
        <v>0</v>
      </c>
      <c r="E24" s="9">
        <f t="shared" ref="E24:G26" si="19">E13*$F$21</f>
        <v>5.4545454545454543E-2</v>
      </c>
      <c r="F24" s="9">
        <f>F13*$F$21</f>
        <v>6.6666666666666666E-2</v>
      </c>
      <c r="G24" s="9">
        <f t="shared" si="19"/>
        <v>8.5714285714285701E-2</v>
      </c>
      <c r="H24" s="9">
        <f t="shared" ref="H24:J26" si="20">H13*$I$21</f>
        <v>6.25E-2</v>
      </c>
      <c r="I24" s="9">
        <f t="shared" si="20"/>
        <v>9.375E-2</v>
      </c>
      <c r="J24" s="9">
        <f t="shared" si="20"/>
        <v>0.21875</v>
      </c>
      <c r="K24" s="9">
        <f t="shared" ref="K24:M25" si="21">K13*$L$21</f>
        <v>0.10714285714285714</v>
      </c>
      <c r="L24" s="9">
        <f t="shared" si="21"/>
        <v>0.17857142857142858</v>
      </c>
      <c r="M24" s="9">
        <f t="shared" si="21"/>
        <v>0.25</v>
      </c>
    </row>
    <row r="25" spans="1:13" ht="15.75" thickBot="1" x14ac:dyDescent="0.3">
      <c r="A25" s="9" t="s">
        <v>2</v>
      </c>
      <c r="B25" s="9">
        <f t="shared" si="17"/>
        <v>2.8571428571428571E-2</v>
      </c>
      <c r="C25" s="9">
        <f t="shared" si="17"/>
        <v>4.0000000000000008E-2</v>
      </c>
      <c r="D25" s="9">
        <f t="shared" si="18"/>
        <v>0</v>
      </c>
      <c r="E25" s="9">
        <f t="shared" si="19"/>
        <v>8.5714285714285701E-2</v>
      </c>
      <c r="F25" s="9">
        <f t="shared" si="19"/>
        <v>0.12</v>
      </c>
      <c r="G25" s="9">
        <f>G14*$F$21</f>
        <v>0.19999999999999998</v>
      </c>
      <c r="H25" s="9">
        <f t="shared" si="20"/>
        <v>0.15625</v>
      </c>
      <c r="I25" s="9">
        <f t="shared" si="20"/>
        <v>0.21875</v>
      </c>
      <c r="J25" s="9">
        <f>J14*$I$21</f>
        <v>0.25</v>
      </c>
      <c r="K25" s="9">
        <f>K14*$L$21</f>
        <v>7.1428571428571425E-2</v>
      </c>
      <c r="L25" s="9">
        <f t="shared" si="21"/>
        <v>0.10714285714285714</v>
      </c>
      <c r="M25" s="9">
        <f t="shared" si="21"/>
        <v>0.21428571428571427</v>
      </c>
    </row>
    <row r="26" spans="1:13" ht="15.75" thickBot="1" x14ac:dyDescent="0.3">
      <c r="A26" s="5" t="s">
        <v>3</v>
      </c>
      <c r="B26" s="9">
        <f t="shared" si="17"/>
        <v>3.3333333333333333E-2</v>
      </c>
      <c r="C26" s="9">
        <f t="shared" si="17"/>
        <v>6.6666666666666666E-2</v>
      </c>
      <c r="D26" s="9">
        <f t="shared" si="18"/>
        <v>0</v>
      </c>
      <c r="E26" s="9">
        <f t="shared" si="19"/>
        <v>8.5714285714285701E-2</v>
      </c>
      <c r="F26" s="9">
        <f t="shared" si="19"/>
        <v>0.12</v>
      </c>
      <c r="G26" s="9">
        <f t="shared" si="19"/>
        <v>0.19999999999999998</v>
      </c>
      <c r="H26" s="9">
        <f t="shared" si="20"/>
        <v>6.25E-2</v>
      </c>
      <c r="I26" s="9">
        <f t="shared" si="20"/>
        <v>9.375E-2</v>
      </c>
      <c r="J26" s="9">
        <f t="shared" si="20"/>
        <v>0.15625</v>
      </c>
      <c r="K26" s="9">
        <f t="shared" ref="K26:M26" si="22">K15*$L$21</f>
        <v>0.14285714285714285</v>
      </c>
      <c r="L26" s="9">
        <f t="shared" si="22"/>
        <v>0.17857142857142858</v>
      </c>
      <c r="M26" s="9">
        <f t="shared" si="22"/>
        <v>0.25</v>
      </c>
    </row>
    <row r="28" spans="1:13" x14ac:dyDescent="0.25">
      <c r="A28" s="11" t="s">
        <v>6</v>
      </c>
      <c r="B28" s="12">
        <f>MAX(D23:D26)</f>
        <v>0.2</v>
      </c>
      <c r="C28" s="13"/>
      <c r="D28" s="14"/>
      <c r="E28" s="12">
        <f>MAX(G23:G26)</f>
        <v>0.3</v>
      </c>
      <c r="F28" s="13"/>
      <c r="G28" s="14"/>
      <c r="H28" s="12">
        <f>MAX(J23:J26)</f>
        <v>0.25</v>
      </c>
      <c r="I28" s="13"/>
      <c r="J28" s="14"/>
      <c r="K28" s="12">
        <f>MAX(M23:M26)</f>
        <v>0.25</v>
      </c>
      <c r="L28" s="13"/>
      <c r="M28" s="14"/>
    </row>
    <row r="29" spans="1:13" x14ac:dyDescent="0.25">
      <c r="A29" s="11" t="s">
        <v>7</v>
      </c>
      <c r="B29" s="15">
        <f>MIN(B23:B26)</f>
        <v>2.8571428571428571E-2</v>
      </c>
      <c r="C29" s="15"/>
      <c r="D29" s="15"/>
      <c r="E29" s="15">
        <f>MIN(E23:E26)</f>
        <v>5.4545454545454543E-2</v>
      </c>
      <c r="F29" s="15"/>
      <c r="G29" s="15"/>
      <c r="H29" s="15">
        <f>MIN(H23:H26)</f>
        <v>6.25E-2</v>
      </c>
      <c r="I29" s="15"/>
      <c r="J29" s="15"/>
      <c r="K29" s="15">
        <f>MIN(K23:K26)</f>
        <v>3.5714285714285712E-2</v>
      </c>
      <c r="L29" s="15"/>
      <c r="M29" s="15"/>
    </row>
    <row r="31" spans="1:13" x14ac:dyDescent="0.25">
      <c r="A31" s="18"/>
      <c r="B31" s="18" t="s">
        <v>8</v>
      </c>
      <c r="C31" s="18" t="s">
        <v>9</v>
      </c>
    </row>
    <row r="32" spans="1:13" x14ac:dyDescent="0.25">
      <c r="A32" s="18" t="s">
        <v>0</v>
      </c>
      <c r="B32" s="19">
        <f>(((B23-$B$28)^2+(C23-$B$28)^2+(D23-$B$28)^2)/3)^0.5+(((E23-$E$28)^2+(F23-$E$28)^2+(G23-$E$28)^2)/3)^0.5+(((H23-$H$28)^2+(I23-$H$28)^2+(J23-$H$28)^2)/3)^0.5+(((K23-$K$28)^2+(L23-$K$28)^2+(M23-$K$28)^2)/3)^0.5</f>
        <v>0.56015514150725076</v>
      </c>
      <c r="C32" s="19">
        <f>(((B23-$B$29)^2+(C23-$B$29)^2+(D23-$B$29)^2)/3)^0.5+(((E23-$E$29)^2+(F23-$E$29)^2+(G23-$E$29)^2)/3)^0.5+(((H23-$H$29)^2+(I23-$H$29)^2+(J23-$H$29)^2)/3)^0.5+(((K23-$K$29)^2+(L23-$K$29)^2+(M23-$K$29)^2)/3)^0.5</f>
        <v>0.37734841355027066</v>
      </c>
    </row>
    <row r="33" spans="1:3" x14ac:dyDescent="0.25">
      <c r="A33" s="18" t="s">
        <v>1</v>
      </c>
      <c r="B33" s="19">
        <f t="shared" ref="B33:B35" si="23">(((B24-$B$28)^2+(C24-$B$28)^2+(D24-$B$28)^2)/3)^0.5+(((E24-$E$28)^2+(F24-$E$28)^2+(G24-$E$28)^2)/3)^0.5+(((H24-$H$28)^2+(I24-$H$28)^2+(J24-$H$28)^2)/3)^0.5+(((K24-$K$28)^2+(L24-$K$28)^2+(M24-$K$28)^2)/3)^0.5</f>
        <v>0.60443647075186169</v>
      </c>
      <c r="C33" s="19">
        <f>(((B24-$B$29)^2+(C24-$B$29)^2+(D24-$B$29)^2)/3)^0.5+(((E24-$E$29)^2+(F24-$E$29)^2+(G24-$E$29)^2)/3)^0.5+(((H24-$H$29)^2+(I24-$H$29)^2+(J24-$H$29)^2)/3)^0.5+(((K24-$K$29)^2+(L24-$K$29)^2+(M24-$K$29)^2)/3)^0.5</f>
        <v>0.36833089877182557</v>
      </c>
    </row>
    <row r="34" spans="1:3" x14ac:dyDescent="0.25">
      <c r="A34" s="18" t="s">
        <v>2</v>
      </c>
      <c r="B34" s="19">
        <f t="shared" si="23"/>
        <v>0.54020418827927885</v>
      </c>
      <c r="C34" s="19">
        <f>(((B25-$B$29)^2+(C25-$B$29)^2+(D25-$B$29)^2)/3)^0.5+(((E25-$E$29)^2+(F25-$E$29)^2+(G25-$E$29)^2)/3)^0.5+(((H25-$H$29)^2+(I25-$H$29)^2+(J25-$H$29)^2)/3)^0.5+(((K25-$K$29)^2+(L25-$K$29)^2+(M25-$K$29)^2)/3)^0.5</f>
        <v>0.37548785170613125</v>
      </c>
    </row>
    <row r="35" spans="1:3" x14ac:dyDescent="0.25">
      <c r="A35" s="18" t="s">
        <v>3</v>
      </c>
      <c r="B35" s="19">
        <f t="shared" si="23"/>
        <v>0.56575062256215258</v>
      </c>
      <c r="C35" s="19">
        <f t="shared" ref="C35" si="24">(((B26-$B$29)^2+(C26-$B$29)^2+(D26-$B$29)^2)/3)^0.5+(((E26-$E$29)^2+(F26-$E$29)^2+(G26-$E$29)^2)/3)^0.5+(((H26-$H$29)^2+(I26-$H$29)^2+(J26-$H$29)^2)/3)^0.5+(((K26-$K$29)^2+(L26-$K$29)^2+(M26-$K$29)^2)/3)^0.5</f>
        <v>0.33956014590606387</v>
      </c>
    </row>
    <row r="38" spans="1:3" x14ac:dyDescent="0.25">
      <c r="A38" s="18"/>
      <c r="B38" s="18" t="s">
        <v>10</v>
      </c>
      <c r="C38" s="4" t="s">
        <v>18</v>
      </c>
    </row>
    <row r="39" spans="1:3" x14ac:dyDescent="0.25">
      <c r="A39" s="18" t="s">
        <v>0</v>
      </c>
      <c r="B39" s="19">
        <f>C32/(B32+C32)</f>
        <v>0.40250344813585059</v>
      </c>
      <c r="C39" s="4">
        <f>B39/SUM($B$39:$B$42)</f>
        <v>0.25698041210411354</v>
      </c>
    </row>
    <row r="40" spans="1:3" x14ac:dyDescent="0.25">
      <c r="A40" s="18" t="s">
        <v>1</v>
      </c>
      <c r="B40" s="19">
        <f>C33/(B33+C33)</f>
        <v>0.37864232529939584</v>
      </c>
      <c r="C40" s="4">
        <f>B40/SUM($B$39:$B$42)</f>
        <v>0.24174615458861165</v>
      </c>
    </row>
    <row r="41" spans="1:3" x14ac:dyDescent="0.25">
      <c r="A41" s="18" t="s">
        <v>2</v>
      </c>
      <c r="B41" s="19">
        <f>C34/(B34+C34)</f>
        <v>0.41005909772035803</v>
      </c>
      <c r="C41" s="4">
        <f>B41/SUM($B$39:$B$42)</f>
        <v>0.26180435573225774</v>
      </c>
    </row>
    <row r="42" spans="1:3" x14ac:dyDescent="0.25">
      <c r="A42" s="18" t="s">
        <v>3</v>
      </c>
      <c r="B42" s="19">
        <f t="shared" ref="B42" si="25">C35/(B35+C35)</f>
        <v>0.37507578362356031</v>
      </c>
      <c r="C42" s="4">
        <f t="shared" ref="C42" si="26">B42/SUM($B$39:$B$42)</f>
        <v>0.23946907757501704</v>
      </c>
    </row>
  </sheetData>
  <mergeCells count="31">
    <mergeCell ref="B29:D29"/>
    <mergeCell ref="E29:G29"/>
    <mergeCell ref="H29:J29"/>
    <mergeCell ref="K29:M29"/>
    <mergeCell ref="B20:M20"/>
    <mergeCell ref="B22:D22"/>
    <mergeCell ref="E22:G22"/>
    <mergeCell ref="H22:J22"/>
    <mergeCell ref="K22:M22"/>
    <mergeCell ref="B28:D28"/>
    <mergeCell ref="E28:G28"/>
    <mergeCell ref="H28:J28"/>
    <mergeCell ref="K28:M28"/>
    <mergeCell ref="B8:D8"/>
    <mergeCell ref="E8:G8"/>
    <mergeCell ref="H8:J8"/>
    <mergeCell ref="K8:M8"/>
    <mergeCell ref="B10:M10"/>
    <mergeCell ref="B11:D11"/>
    <mergeCell ref="E11:G11"/>
    <mergeCell ref="H11:J11"/>
    <mergeCell ref="K11:M11"/>
    <mergeCell ref="B1:M1"/>
    <mergeCell ref="B2:D2"/>
    <mergeCell ref="E2:G2"/>
    <mergeCell ref="H2:J2"/>
    <mergeCell ref="K2:M2"/>
    <mergeCell ref="B7:D7"/>
    <mergeCell ref="E7:G7"/>
    <mergeCell ref="H7:J7"/>
    <mergeCell ref="K7:M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2020-12-03T18:31:21Z</dcterms:modified>
</cp:coreProperties>
</file>