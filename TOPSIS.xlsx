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FF491F2A-02A9-417D-8BBF-8A6182950F6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C15" i="1" s="1"/>
  <c r="C23" i="1" s="1"/>
  <c r="D8" i="1"/>
  <c r="D14" i="1" s="1"/>
  <c r="D22" i="1" s="1"/>
  <c r="E8" i="1"/>
  <c r="E13" i="1" s="1"/>
  <c r="E21" i="1" s="1"/>
  <c r="B8" i="1"/>
  <c r="B13" i="1" s="1"/>
  <c r="B21" i="1" s="1"/>
  <c r="B16" i="1" l="1"/>
  <c r="B24" i="1" s="1"/>
  <c r="C12" i="1"/>
  <c r="C20" i="1" s="1"/>
  <c r="C16" i="1"/>
  <c r="C24" i="1" s="1"/>
  <c r="D15" i="1"/>
  <c r="D23" i="1" s="1"/>
  <c r="E14" i="1"/>
  <c r="E22" i="1" s="1"/>
  <c r="B15" i="1"/>
  <c r="B23" i="1" s="1"/>
  <c r="C13" i="1"/>
  <c r="C21" i="1" s="1"/>
  <c r="D12" i="1"/>
  <c r="D20" i="1" s="1"/>
  <c r="D16" i="1"/>
  <c r="D24" i="1" s="1"/>
  <c r="E15" i="1"/>
  <c r="E23" i="1" s="1"/>
  <c r="B14" i="1"/>
  <c r="B22" i="1" s="1"/>
  <c r="C14" i="1"/>
  <c r="C22" i="1" s="1"/>
  <c r="D13" i="1"/>
  <c r="D21" i="1" s="1"/>
  <c r="E12" i="1"/>
  <c r="E20" i="1" s="1"/>
  <c r="E16" i="1"/>
  <c r="E24" i="1" s="1"/>
  <c r="B12" i="1"/>
  <c r="B20" i="1" s="1"/>
  <c r="E27" i="1" l="1"/>
  <c r="E26" i="1"/>
  <c r="C27" i="1"/>
  <c r="C26" i="1"/>
  <c r="B36" i="1" s="1"/>
  <c r="B26" i="1"/>
  <c r="B27" i="1"/>
  <c r="C34" i="1" s="1"/>
  <c r="D26" i="1"/>
  <c r="D27" i="1"/>
  <c r="B35" i="1"/>
  <c r="C36" i="1" l="1"/>
  <c r="B44" i="1" s="1"/>
  <c r="C33" i="1"/>
  <c r="C35" i="1"/>
  <c r="B43" i="1" s="1"/>
  <c r="B34" i="1"/>
  <c r="B42" i="1" s="1"/>
  <c r="B37" i="1"/>
  <c r="B33" i="1"/>
  <c r="C37" i="1"/>
  <c r="B45" i="1" s="1"/>
  <c r="B41" i="1" l="1"/>
  <c r="C41" i="1" s="1"/>
  <c r="C44" i="1"/>
  <c r="C43" i="1" l="1"/>
  <c r="C45" i="1"/>
  <c r="C42" i="1"/>
</calcChain>
</file>

<file path=xl/sharedStrings.xml><?xml version="1.0" encoding="utf-8"?>
<sst xmlns="http://schemas.openxmlformats.org/spreadsheetml/2006/main" count="60" uniqueCount="24">
  <si>
    <t>A1</t>
  </si>
  <si>
    <t>A2</t>
  </si>
  <si>
    <t>A3</t>
  </si>
  <si>
    <t>A4</t>
  </si>
  <si>
    <t>A5</t>
  </si>
  <si>
    <t>A+</t>
  </si>
  <si>
    <t>A-</t>
  </si>
  <si>
    <t>dj+</t>
  </si>
  <si>
    <t>dj-</t>
  </si>
  <si>
    <t>Dj</t>
  </si>
  <si>
    <t>Decision Matrix</t>
  </si>
  <si>
    <t>Price</t>
  </si>
  <si>
    <t>Consumption</t>
  </si>
  <si>
    <t>Model</t>
  </si>
  <si>
    <t>Convinience</t>
  </si>
  <si>
    <t>Weights</t>
  </si>
  <si>
    <t>Normalized Decision Matrix</t>
  </si>
  <si>
    <t>Weighted Normalized Decision Matrix</t>
  </si>
  <si>
    <t>Denaminator</t>
  </si>
  <si>
    <t>p criteion</t>
  </si>
  <si>
    <t>n criterion</t>
  </si>
  <si>
    <t>max</t>
  </si>
  <si>
    <t>min</t>
  </si>
  <si>
    <t>Normalized 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</si>
</sst>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30"/>
      <color rgb="FF0070C0"/>
      <name val="Calibri"/>
      <family val="2"/>
      <scheme val="minor"/>
    </font>
    <font>
      <sz val="30"/>
      <color rgb="FF0070C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9</xdr:row>
      <xdr:rowOff>47625</xdr:rowOff>
    </xdr:from>
    <xdr:to>
      <xdr:col>14</xdr:col>
      <xdr:colOff>219075</xdr:colOff>
      <xdr:row>12</xdr:row>
      <xdr:rowOff>76200</xdr:rowOff>
    </xdr:to>
    <xdr:grpSp>
      <xdr:nvGrpSpPr>
        <xdr:cNvPr id="1027" name="Group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GrpSpPr>
          <a:grpSpLocks noChangeAspect="1"/>
        </xdr:cNvGrpSpPr>
      </xdr:nvGrpSpPr>
      <xdr:grpSpPr bwMode="auto">
        <a:xfrm>
          <a:off x="5457825" y="1762125"/>
          <a:ext cx="4629150" cy="600075"/>
          <a:chOff x="490" y="221"/>
          <a:chExt cx="429" cy="75"/>
        </a:xfrm>
      </xdr:grpSpPr>
      <xdr:sp macro="" textlink="">
        <xdr:nvSpPr>
          <xdr:cNvPr id="1026" name="AutoShape 2">
            <a:extLst>
              <a:ext uri="{FF2B5EF4-FFF2-40B4-BE49-F238E27FC236}">
                <a16:creationId xmlns:a16="http://schemas.microsoft.com/office/drawing/2014/main" id="{00000000-0008-0000-0000-00000204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490" y="221"/>
            <a:ext cx="429" cy="75"/>
          </a:xfrm>
          <a:prstGeom prst="rect">
            <a:avLst/>
          </a:prstGeom>
          <a:solidFill>
            <a:srgbClr val="FFFF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Line 4">
            <a:extLst>
              <a:ext uri="{FF2B5EF4-FFF2-40B4-BE49-F238E27FC236}">
                <a16:creationId xmlns:a16="http://schemas.microsoft.com/office/drawing/2014/main" id="{00000000-0008-0000-0000-000004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2" y="275"/>
            <a:ext cx="2" cy="1"/>
          </a:xfrm>
          <a:prstGeom prst="line">
            <a:avLst/>
          </a:pr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00000000-0008-0000-0000-000005040000}"/>
              </a:ext>
            </a:extLst>
          </xdr:cNvPr>
          <xdr:cNvSpPr>
            <a:spLocks noChangeShapeType="1"/>
          </xdr:cNvSpPr>
        </xdr:nvSpPr>
        <xdr:spPr bwMode="auto">
          <a:xfrm>
            <a:off x="524" y="275"/>
            <a:ext cx="3" cy="17"/>
          </a:xfrm>
          <a:prstGeom prst="line">
            <a:avLst/>
          </a:pr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00000000-0008-0000-0000-00000604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527" y="247"/>
            <a:ext cx="4" cy="45"/>
          </a:xfrm>
          <a:prstGeom prst="line">
            <a:avLst/>
          </a:pr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00000000-0008-0000-0000-000007040000}"/>
              </a:ext>
            </a:extLst>
          </xdr:cNvPr>
          <xdr:cNvSpPr>
            <a:spLocks noChangeShapeType="1"/>
          </xdr:cNvSpPr>
        </xdr:nvSpPr>
        <xdr:spPr bwMode="auto">
          <a:xfrm>
            <a:off x="531" y="247"/>
            <a:ext cx="40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00000000-0008-0000-0000-000008040000}"/>
              </a:ext>
            </a:extLst>
          </xdr:cNvPr>
          <xdr:cNvSpPr>
            <a:spLocks noChangeShapeType="1"/>
          </xdr:cNvSpPr>
        </xdr:nvSpPr>
        <xdr:spPr bwMode="auto">
          <a:xfrm>
            <a:off x="520" y="245"/>
            <a:ext cx="52" cy="0"/>
          </a:xfrm>
          <a:prstGeom prst="line">
            <a:avLst/>
          </a:prstGeom>
          <a:noFill/>
          <a:ln w="9525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3" name="Rectangle 9">
            <a:extLst>
              <a:ext uri="{FF2B5EF4-FFF2-40B4-BE49-F238E27FC236}">
                <a16:creationId xmlns:a16="http://schemas.microsoft.com/office/drawing/2014/main" id="{00000000-0008-0000-0000-000009040000}"/>
              </a:ext>
            </a:extLst>
          </xdr:cNvPr>
          <xdr:cNvSpPr>
            <a:spLocks noChangeArrowheads="1"/>
          </xdr:cNvSpPr>
        </xdr:nvSpPr>
        <xdr:spPr bwMode="auto">
          <a:xfrm>
            <a:off x="492" y="235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</a:t>
            </a:r>
          </a:p>
        </xdr:txBody>
      </xdr:sp>
      <xdr:sp macro="" textlink="">
        <xdr:nvSpPr>
          <xdr:cNvPr id="1034" name="Rectangle 10">
            <a:extLst>
              <a:ext uri="{FF2B5EF4-FFF2-40B4-BE49-F238E27FC236}">
                <a16:creationId xmlns:a16="http://schemas.microsoft.com/office/drawing/2014/main" id="{00000000-0008-0000-0000-00000A040000}"/>
              </a:ext>
            </a:extLst>
          </xdr:cNvPr>
          <xdr:cNvSpPr>
            <a:spLocks noChangeArrowheads="1"/>
          </xdr:cNvSpPr>
        </xdr:nvSpPr>
        <xdr:spPr bwMode="auto">
          <a:xfrm>
            <a:off x="541" y="223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</a:t>
            </a:r>
          </a:p>
        </xdr:txBody>
      </xdr:sp>
      <xdr:sp macro="" textlink="">
        <xdr:nvSpPr>
          <xdr:cNvPr id="1035" name="Rectangle 11">
            <a:extLst>
              <a:ext uri="{FF2B5EF4-FFF2-40B4-BE49-F238E27FC236}">
                <a16:creationId xmlns:a16="http://schemas.microsoft.com/office/drawing/2014/main" id="{00000000-0008-0000-0000-00000B040000}"/>
              </a:ext>
            </a:extLst>
          </xdr:cNvPr>
          <xdr:cNvSpPr>
            <a:spLocks noChangeArrowheads="1"/>
          </xdr:cNvSpPr>
        </xdr:nvSpPr>
        <xdr:spPr bwMode="auto">
          <a:xfrm>
            <a:off x="554" y="260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f</a:t>
            </a:r>
          </a:p>
        </xdr:txBody>
      </xdr:sp>
      <xdr:sp macro="" textlink="">
        <xdr:nvSpPr>
          <xdr:cNvPr id="1036" name="Rectangle 12">
            <a:extLst>
              <a:ext uri="{FF2B5EF4-FFF2-40B4-BE49-F238E27FC236}">
                <a16:creationId xmlns:a16="http://schemas.microsoft.com/office/drawing/2014/main" id="{00000000-0008-0000-0000-00000C040000}"/>
              </a:ext>
            </a:extLst>
          </xdr:cNvPr>
          <xdr:cNvSpPr>
            <a:spLocks noChangeArrowheads="1"/>
          </xdr:cNvSpPr>
        </xdr:nvSpPr>
        <xdr:spPr bwMode="auto">
          <a:xfrm>
            <a:off x="590" y="235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37" name="Rectangle 13">
            <a:extLst>
              <a:ext uri="{FF2B5EF4-FFF2-40B4-BE49-F238E27FC236}">
                <a16:creationId xmlns:a16="http://schemas.microsoft.com/office/drawing/2014/main" id="{00000000-0008-0000-0000-00000D040000}"/>
              </a:ext>
            </a:extLst>
          </xdr:cNvPr>
          <xdr:cNvSpPr>
            <a:spLocks noChangeArrowheads="1"/>
          </xdr:cNvSpPr>
        </xdr:nvSpPr>
        <xdr:spPr bwMode="auto">
          <a:xfrm>
            <a:off x="641" y="235"/>
            <a:ext cx="10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38" name="Rectangle 14">
            <a:extLst>
              <a:ext uri="{FF2B5EF4-FFF2-40B4-BE49-F238E27FC236}">
                <a16:creationId xmlns:a16="http://schemas.microsoft.com/office/drawing/2014/main" id="{00000000-0008-0000-0000-00000E040000}"/>
              </a:ext>
            </a:extLst>
          </xdr:cNvPr>
          <xdr:cNvSpPr>
            <a:spLocks noChangeArrowheads="1"/>
          </xdr:cNvSpPr>
        </xdr:nvSpPr>
        <xdr:spPr bwMode="auto">
          <a:xfrm>
            <a:off x="663" y="235"/>
            <a:ext cx="7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39" name="Rectangle 15">
            <a:extLst>
              <a:ext uri="{FF2B5EF4-FFF2-40B4-BE49-F238E27FC236}">
                <a16:creationId xmlns:a16="http://schemas.microsoft.com/office/drawing/2014/main" id="{00000000-0008-0000-0000-00000F040000}"/>
              </a:ext>
            </a:extLst>
          </xdr:cNvPr>
          <xdr:cNvSpPr>
            <a:spLocks noChangeArrowheads="1"/>
          </xdr:cNvSpPr>
        </xdr:nvSpPr>
        <xdr:spPr bwMode="auto">
          <a:xfrm>
            <a:off x="713" y="235"/>
            <a:ext cx="1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40" name="Rectangle 16">
            <a:extLst>
              <a:ext uri="{FF2B5EF4-FFF2-40B4-BE49-F238E27FC236}">
                <a16:creationId xmlns:a16="http://schemas.microsoft.com/office/drawing/2014/main" id="{00000000-0008-0000-0000-00001004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245"/>
            <a:ext cx="9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ij</a:t>
            </a:r>
          </a:p>
        </xdr:txBody>
      </xdr:sp>
      <xdr:sp macro="" textlink="">
        <xdr:nvSpPr>
          <xdr:cNvPr id="1041" name="Rectangle 17">
            <a:extLst>
              <a:ext uri="{FF2B5EF4-FFF2-40B4-BE49-F238E27FC236}">
                <a16:creationId xmlns:a16="http://schemas.microsoft.com/office/drawing/2014/main" id="{00000000-0008-0000-0000-000011040000}"/>
              </a:ext>
            </a:extLst>
          </xdr:cNvPr>
          <xdr:cNvSpPr>
            <a:spLocks noChangeArrowheads="1"/>
          </xdr:cNvSpPr>
        </xdr:nvSpPr>
        <xdr:spPr bwMode="auto">
          <a:xfrm>
            <a:off x="547" y="233"/>
            <a:ext cx="9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ij</a:t>
            </a:r>
          </a:p>
        </xdr:txBody>
      </xdr:sp>
      <xdr:sp macro="" textlink="">
        <xdr:nvSpPr>
          <xdr:cNvPr id="1042" name="Rectangle 18">
            <a:extLst>
              <a:ext uri="{FF2B5EF4-FFF2-40B4-BE49-F238E27FC236}">
                <a16:creationId xmlns:a16="http://schemas.microsoft.com/office/drawing/2014/main" id="{00000000-0008-0000-0000-000012040000}"/>
              </a:ext>
            </a:extLst>
          </xdr:cNvPr>
          <xdr:cNvSpPr>
            <a:spLocks noChangeArrowheads="1"/>
          </xdr:cNvSpPr>
        </xdr:nvSpPr>
        <xdr:spPr bwMode="auto">
          <a:xfrm>
            <a:off x="560" y="270"/>
            <a:ext cx="9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ij</a:t>
            </a:r>
          </a:p>
        </xdr:txBody>
      </xdr:sp>
      <xdr:sp macro="" textlink="">
        <xdr:nvSpPr>
          <xdr:cNvPr id="1043" name="Rectangle 19">
            <a:extLst>
              <a:ext uri="{FF2B5EF4-FFF2-40B4-BE49-F238E27FC236}">
                <a16:creationId xmlns:a16="http://schemas.microsoft.com/office/drawing/2014/main" id="{00000000-0008-0000-0000-000013040000}"/>
              </a:ext>
            </a:extLst>
          </xdr:cNvPr>
          <xdr:cNvSpPr>
            <a:spLocks noChangeArrowheads="1"/>
          </xdr:cNvSpPr>
        </xdr:nvSpPr>
        <xdr:spPr bwMode="auto">
          <a:xfrm>
            <a:off x="536" y="282"/>
            <a:ext cx="7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44" name="Rectangle 20">
            <a:extLst>
              <a:ext uri="{FF2B5EF4-FFF2-40B4-BE49-F238E27FC236}">
                <a16:creationId xmlns:a16="http://schemas.microsoft.com/office/drawing/2014/main" id="{00000000-0008-0000-0000-000014040000}"/>
              </a:ext>
            </a:extLst>
          </xdr:cNvPr>
          <xdr:cNvSpPr>
            <a:spLocks noChangeArrowheads="1"/>
          </xdr:cNvSpPr>
        </xdr:nvSpPr>
        <xdr:spPr bwMode="auto">
          <a:xfrm>
            <a:off x="539" y="249"/>
            <a:ext cx="10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45" name="Rectangle 21">
            <a:extLst>
              <a:ext uri="{FF2B5EF4-FFF2-40B4-BE49-F238E27FC236}">
                <a16:creationId xmlns:a16="http://schemas.microsoft.com/office/drawing/2014/main" id="{00000000-0008-0000-0000-000015040000}"/>
              </a:ext>
            </a:extLst>
          </xdr:cNvPr>
          <xdr:cNvSpPr>
            <a:spLocks noChangeArrowheads="1"/>
          </xdr:cNvSpPr>
        </xdr:nvSpPr>
        <xdr:spPr bwMode="auto">
          <a:xfrm>
            <a:off x="507" y="233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046" name="Rectangle 22">
            <a:extLst>
              <a:ext uri="{FF2B5EF4-FFF2-40B4-BE49-F238E27FC236}">
                <a16:creationId xmlns:a16="http://schemas.microsoft.com/office/drawing/2014/main" id="{00000000-0008-0000-0000-000016040000}"/>
              </a:ext>
            </a:extLst>
          </xdr:cNvPr>
          <xdr:cNvSpPr>
            <a:spLocks noChangeArrowheads="1"/>
          </xdr:cNvSpPr>
        </xdr:nvSpPr>
        <xdr:spPr bwMode="auto">
          <a:xfrm>
            <a:off x="598" y="233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047" name="Rectangle 23">
            <a:extLst>
              <a:ext uri="{FF2B5EF4-FFF2-40B4-BE49-F238E27FC236}">
                <a16:creationId xmlns:a16="http://schemas.microsoft.com/office/drawing/2014/main" id="{00000000-0008-0000-0000-000017040000}"/>
              </a:ext>
            </a:extLst>
          </xdr:cNvPr>
          <xdr:cNvSpPr>
            <a:spLocks noChangeArrowheads="1"/>
          </xdr:cNvSpPr>
        </xdr:nvSpPr>
        <xdr:spPr bwMode="auto">
          <a:xfrm>
            <a:off x="671" y="233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048" name="Rectangle 24">
            <a:extLst>
              <a:ext uri="{FF2B5EF4-FFF2-40B4-BE49-F238E27FC236}">
                <a16:creationId xmlns:a16="http://schemas.microsoft.com/office/drawing/2014/main" id="{00000000-0008-0000-0000-000018040000}"/>
              </a:ext>
            </a:extLst>
          </xdr:cNvPr>
          <xdr:cNvSpPr>
            <a:spLocks noChangeArrowheads="1"/>
          </xdr:cNvSpPr>
        </xdr:nvSpPr>
        <xdr:spPr bwMode="auto">
          <a:xfrm>
            <a:off x="539" y="281"/>
            <a:ext cx="5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049" name="Rectangle 25">
            <a:extLst>
              <a:ext uri="{FF2B5EF4-FFF2-40B4-BE49-F238E27FC236}">
                <a16:creationId xmlns:a16="http://schemas.microsoft.com/office/drawing/2014/main" id="{00000000-0008-0000-0000-000019040000}"/>
              </a:ext>
            </a:extLst>
          </xdr:cNvPr>
          <xdr:cNvSpPr>
            <a:spLocks noChangeArrowheads="1"/>
          </xdr:cNvSpPr>
        </xdr:nvSpPr>
        <xdr:spPr bwMode="auto">
          <a:xfrm>
            <a:off x="532" y="254"/>
            <a:ext cx="17" cy="3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800" b="0" i="0" u="none" strike="noStrike" baseline="0">
                <a:solidFill>
                  <a:srgbClr val="000000"/>
                </a:solidFill>
                <a:latin typeface="Symbol"/>
              </a:rPr>
              <a:t></a:t>
            </a:r>
          </a:p>
        </xdr:txBody>
      </xdr:sp>
      <xdr:sp macro="" textlink="">
        <xdr:nvSpPr>
          <xdr:cNvPr id="1050" name="Rectangle 26">
            <a:extLst>
              <a:ext uri="{FF2B5EF4-FFF2-40B4-BE49-F238E27FC236}">
                <a16:creationId xmlns:a16="http://schemas.microsoft.com/office/drawing/2014/main" id="{00000000-0008-0000-0000-00001A040000}"/>
              </a:ext>
            </a:extLst>
          </xdr:cNvPr>
          <xdr:cNvSpPr>
            <a:spLocks noChangeArrowheads="1"/>
          </xdr:cNvSpPr>
        </xdr:nvSpPr>
        <xdr:spPr bwMode="auto">
          <a:xfrm>
            <a:off x="564" y="259"/>
            <a:ext cx="5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2</a:t>
            </a:r>
          </a:p>
        </xdr:txBody>
      </xdr:sp>
      <xdr:sp macro="" textlink="">
        <xdr:nvSpPr>
          <xdr:cNvPr id="1051" name="Rectangle 27">
            <a:extLst>
              <a:ext uri="{FF2B5EF4-FFF2-40B4-BE49-F238E27FC236}">
                <a16:creationId xmlns:a16="http://schemas.microsoft.com/office/drawing/2014/main" id="{00000000-0008-0000-0000-00001B040000}"/>
              </a:ext>
            </a:extLst>
          </xdr:cNvPr>
          <xdr:cNvSpPr>
            <a:spLocks noChangeArrowheads="1"/>
          </xdr:cNvSpPr>
        </xdr:nvSpPr>
        <xdr:spPr bwMode="auto">
          <a:xfrm>
            <a:off x="544" y="282"/>
            <a:ext cx="5" cy="1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1052" name="Rectangle 28">
            <a:extLst>
              <a:ext uri="{FF2B5EF4-FFF2-40B4-BE49-F238E27FC236}">
                <a16:creationId xmlns:a16="http://schemas.microsoft.com/office/drawing/2014/main" id="{00000000-0008-0000-0000-00001C040000}"/>
              </a:ext>
            </a:extLst>
          </xdr:cNvPr>
          <xdr:cNvSpPr>
            <a:spLocks noChangeArrowheads="1"/>
          </xdr:cNvSpPr>
        </xdr:nvSpPr>
        <xdr:spPr bwMode="auto">
          <a:xfrm>
            <a:off x="609" y="235"/>
            <a:ext cx="8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1053" name="Rectangle 29">
            <a:extLst>
              <a:ext uri="{FF2B5EF4-FFF2-40B4-BE49-F238E27FC236}">
                <a16:creationId xmlns:a16="http://schemas.microsoft.com/office/drawing/2014/main" id="{00000000-0008-0000-0000-00001D040000}"/>
              </a:ext>
            </a:extLst>
          </xdr:cNvPr>
          <xdr:cNvSpPr>
            <a:spLocks noChangeArrowheads="1"/>
          </xdr:cNvSpPr>
        </xdr:nvSpPr>
        <xdr:spPr bwMode="auto">
          <a:xfrm>
            <a:off x="682" y="235"/>
            <a:ext cx="8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1054" name="Rectangle 30">
            <a:extLst>
              <a:ext uri="{FF2B5EF4-FFF2-40B4-BE49-F238E27FC236}">
                <a16:creationId xmlns:a16="http://schemas.microsoft.com/office/drawing/2014/main" id="{00000000-0008-0000-0000-00001E040000}"/>
              </a:ext>
            </a:extLst>
          </xdr:cNvPr>
          <xdr:cNvSpPr>
            <a:spLocks noChangeArrowheads="1"/>
          </xdr:cNvSpPr>
        </xdr:nvSpPr>
        <xdr:spPr bwMode="auto">
          <a:xfrm>
            <a:off x="575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1055" name="Rectangle 31">
            <a:extLst>
              <a:ext uri="{FF2B5EF4-FFF2-40B4-BE49-F238E27FC236}">
                <a16:creationId xmlns:a16="http://schemas.microsoft.com/office/drawing/2014/main" id="{00000000-0008-0000-0000-00001F040000}"/>
              </a:ext>
            </a:extLst>
          </xdr:cNvPr>
          <xdr:cNvSpPr>
            <a:spLocks noChangeArrowheads="1"/>
          </xdr:cNvSpPr>
        </xdr:nvSpPr>
        <xdr:spPr bwMode="auto">
          <a:xfrm>
            <a:off x="586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1056" name="Rectangle 32">
            <a:extLst>
              <a:ext uri="{FF2B5EF4-FFF2-40B4-BE49-F238E27FC236}">
                <a16:creationId xmlns:a16="http://schemas.microsoft.com/office/drawing/2014/main" id="{00000000-0008-0000-0000-000020040000}"/>
              </a:ext>
            </a:extLst>
          </xdr:cNvPr>
          <xdr:cNvSpPr>
            <a:spLocks noChangeArrowheads="1"/>
          </xdr:cNvSpPr>
        </xdr:nvSpPr>
        <xdr:spPr bwMode="auto">
          <a:xfrm>
            <a:off x="648" y="235"/>
            <a:ext cx="9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;</a:t>
            </a:r>
          </a:p>
        </xdr:txBody>
      </xdr:sp>
      <xdr:sp macro="" textlink="">
        <xdr:nvSpPr>
          <xdr:cNvPr id="1057" name="Rectangle 33">
            <a:extLst>
              <a:ext uri="{FF2B5EF4-FFF2-40B4-BE49-F238E27FC236}">
                <a16:creationId xmlns:a16="http://schemas.microsoft.com/office/drawing/2014/main" id="{00000000-0008-0000-0000-000021040000}"/>
              </a:ext>
            </a:extLst>
          </xdr:cNvPr>
          <xdr:cNvSpPr>
            <a:spLocks noChangeArrowheads="1"/>
          </xdr:cNvSpPr>
        </xdr:nvSpPr>
        <xdr:spPr bwMode="auto">
          <a:xfrm>
            <a:off x="659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  <xdr:sp macro="" textlink="">
        <xdr:nvSpPr>
          <xdr:cNvPr id="1058" name="Rectangle 34">
            <a:extLst>
              <a:ext uri="{FF2B5EF4-FFF2-40B4-BE49-F238E27FC236}">
                <a16:creationId xmlns:a16="http://schemas.microsoft.com/office/drawing/2014/main" id="{00000000-0008-0000-0000-000022040000}"/>
              </a:ext>
            </a:extLst>
          </xdr:cNvPr>
          <xdr:cNvSpPr>
            <a:spLocks noChangeArrowheads="1"/>
          </xdr:cNvSpPr>
        </xdr:nvSpPr>
        <xdr:spPr bwMode="auto">
          <a:xfrm>
            <a:off x="720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59" name="Rectangle 35">
            <a:extLst>
              <a:ext uri="{FF2B5EF4-FFF2-40B4-BE49-F238E27FC236}">
                <a16:creationId xmlns:a16="http://schemas.microsoft.com/office/drawing/2014/main" id="{00000000-0008-0000-0000-000023040000}"/>
              </a:ext>
            </a:extLst>
          </xdr:cNvPr>
          <xdr:cNvSpPr>
            <a:spLocks noChangeArrowheads="1"/>
          </xdr:cNvSpPr>
        </xdr:nvSpPr>
        <xdr:spPr bwMode="auto">
          <a:xfrm>
            <a:off x="726" y="235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  <xdr:sp macro="" textlink="">
        <xdr:nvSpPr>
          <xdr:cNvPr id="1060" name="Rectangle 36">
            <a:extLst>
              <a:ext uri="{FF2B5EF4-FFF2-40B4-BE49-F238E27FC236}">
                <a16:creationId xmlns:a16="http://schemas.microsoft.com/office/drawing/2014/main" id="{00000000-0008-0000-0000-000024040000}"/>
              </a:ext>
            </a:extLst>
          </xdr:cNvPr>
          <xdr:cNvSpPr>
            <a:spLocks noChangeArrowheads="1"/>
          </xdr:cNvSpPr>
        </xdr:nvSpPr>
        <xdr:spPr bwMode="auto">
          <a:xfrm>
            <a:off x="766" y="235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  <xdr:sp macro="" textlink="">
        <xdr:nvSpPr>
          <xdr:cNvPr id="1061" name="Rectangle 37">
            <a:extLst>
              <a:ext uri="{FF2B5EF4-FFF2-40B4-BE49-F238E27FC236}">
                <a16:creationId xmlns:a16="http://schemas.microsoft.com/office/drawing/2014/main" id="{00000000-0008-0000-0000-000025040000}"/>
              </a:ext>
            </a:extLst>
          </xdr:cNvPr>
          <xdr:cNvSpPr>
            <a:spLocks noChangeArrowheads="1"/>
          </xdr:cNvSpPr>
        </xdr:nvSpPr>
        <xdr:spPr bwMode="auto">
          <a:xfrm>
            <a:off x="806" y="235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  <xdr:sp macro="" textlink="">
        <xdr:nvSpPr>
          <xdr:cNvPr id="1062" name="Rectangle 38">
            <a:extLst>
              <a:ext uri="{FF2B5EF4-FFF2-40B4-BE49-F238E27FC236}">
                <a16:creationId xmlns:a16="http://schemas.microsoft.com/office/drawing/2014/main" id="{00000000-0008-0000-0000-000026040000}"/>
              </a:ext>
            </a:extLst>
          </xdr:cNvPr>
          <xdr:cNvSpPr>
            <a:spLocks noChangeArrowheads="1"/>
          </xdr:cNvSpPr>
        </xdr:nvSpPr>
        <xdr:spPr bwMode="auto">
          <a:xfrm>
            <a:off x="846" y="235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  <xdr:sp macro="" textlink="">
        <xdr:nvSpPr>
          <xdr:cNvPr id="1064" name="Rectangle 40">
            <a:extLst>
              <a:ext uri="{FF2B5EF4-FFF2-40B4-BE49-F238E27FC236}">
                <a16:creationId xmlns:a16="http://schemas.microsoft.com/office/drawing/2014/main" id="{00000000-0008-0000-0000-000028040000}"/>
              </a:ext>
            </a:extLst>
          </xdr:cNvPr>
          <xdr:cNvSpPr>
            <a:spLocks noChangeArrowheads="1"/>
          </xdr:cNvSpPr>
        </xdr:nvSpPr>
        <xdr:spPr bwMode="auto">
          <a:xfrm>
            <a:off x="580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065" name="Rectangle 41">
            <a:extLst>
              <a:ext uri="{FF2B5EF4-FFF2-40B4-BE49-F238E27FC236}">
                <a16:creationId xmlns:a16="http://schemas.microsoft.com/office/drawing/2014/main" id="{00000000-0008-0000-0000-000029040000}"/>
              </a:ext>
            </a:extLst>
          </xdr:cNvPr>
          <xdr:cNvSpPr>
            <a:spLocks noChangeArrowheads="1"/>
          </xdr:cNvSpPr>
        </xdr:nvSpPr>
        <xdr:spPr bwMode="auto">
          <a:xfrm>
            <a:off x="616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066" name="Rectangle 42">
            <a:extLst>
              <a:ext uri="{FF2B5EF4-FFF2-40B4-BE49-F238E27FC236}">
                <a16:creationId xmlns:a16="http://schemas.microsoft.com/office/drawing/2014/main" id="{00000000-0008-0000-0000-00002A040000}"/>
              </a:ext>
            </a:extLst>
          </xdr:cNvPr>
          <xdr:cNvSpPr>
            <a:spLocks noChangeArrowheads="1"/>
          </xdr:cNvSpPr>
        </xdr:nvSpPr>
        <xdr:spPr bwMode="auto">
          <a:xfrm>
            <a:off x="620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67" name="Rectangle 43">
            <a:extLst>
              <a:ext uri="{FF2B5EF4-FFF2-40B4-BE49-F238E27FC236}">
                <a16:creationId xmlns:a16="http://schemas.microsoft.com/office/drawing/2014/main" id="{00000000-0008-0000-0000-00002B040000}"/>
              </a:ext>
            </a:extLst>
          </xdr:cNvPr>
          <xdr:cNvSpPr>
            <a:spLocks noChangeArrowheads="1"/>
          </xdr:cNvSpPr>
        </xdr:nvSpPr>
        <xdr:spPr bwMode="auto">
          <a:xfrm>
            <a:off x="625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68" name="Rectangle 44">
            <a:extLst>
              <a:ext uri="{FF2B5EF4-FFF2-40B4-BE49-F238E27FC236}">
                <a16:creationId xmlns:a16="http://schemas.microsoft.com/office/drawing/2014/main" id="{00000000-0008-0000-0000-00002C040000}"/>
              </a:ext>
            </a:extLst>
          </xdr:cNvPr>
          <xdr:cNvSpPr>
            <a:spLocks noChangeArrowheads="1"/>
          </xdr:cNvSpPr>
        </xdr:nvSpPr>
        <xdr:spPr bwMode="auto">
          <a:xfrm>
            <a:off x="629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69" name="Rectangle 45">
            <a:extLst>
              <a:ext uri="{FF2B5EF4-FFF2-40B4-BE49-F238E27FC236}">
                <a16:creationId xmlns:a16="http://schemas.microsoft.com/office/drawing/2014/main" id="{00000000-0008-0000-0000-00002D040000}"/>
              </a:ext>
            </a:extLst>
          </xdr:cNvPr>
          <xdr:cNvSpPr>
            <a:spLocks noChangeArrowheads="1"/>
          </xdr:cNvSpPr>
        </xdr:nvSpPr>
        <xdr:spPr bwMode="auto">
          <a:xfrm>
            <a:off x="634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070" name="Rectangle 46">
            <a:extLst>
              <a:ext uri="{FF2B5EF4-FFF2-40B4-BE49-F238E27FC236}">
                <a16:creationId xmlns:a16="http://schemas.microsoft.com/office/drawing/2014/main" id="{00000000-0008-0000-0000-00002E040000}"/>
              </a:ext>
            </a:extLst>
          </xdr:cNvPr>
          <xdr:cNvSpPr>
            <a:spLocks noChangeArrowheads="1"/>
          </xdr:cNvSpPr>
        </xdr:nvSpPr>
        <xdr:spPr bwMode="auto">
          <a:xfrm>
            <a:off x="689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071" name="Rectangle 47">
            <a:extLst>
              <a:ext uri="{FF2B5EF4-FFF2-40B4-BE49-F238E27FC236}">
                <a16:creationId xmlns:a16="http://schemas.microsoft.com/office/drawing/2014/main" id="{00000000-0008-0000-0000-00002F040000}"/>
              </a:ext>
            </a:extLst>
          </xdr:cNvPr>
          <xdr:cNvSpPr>
            <a:spLocks noChangeArrowheads="1"/>
          </xdr:cNvSpPr>
        </xdr:nvSpPr>
        <xdr:spPr bwMode="auto">
          <a:xfrm>
            <a:off x="693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72" name="Rectangle 48">
            <a:extLst>
              <a:ext uri="{FF2B5EF4-FFF2-40B4-BE49-F238E27FC236}">
                <a16:creationId xmlns:a16="http://schemas.microsoft.com/office/drawing/2014/main" id="{00000000-0008-0000-0000-000030040000}"/>
              </a:ext>
            </a:extLst>
          </xdr:cNvPr>
          <xdr:cNvSpPr>
            <a:spLocks noChangeArrowheads="1"/>
          </xdr:cNvSpPr>
        </xdr:nvSpPr>
        <xdr:spPr bwMode="auto">
          <a:xfrm>
            <a:off x="698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73" name="Rectangle 49">
            <a:extLst>
              <a:ext uri="{FF2B5EF4-FFF2-40B4-BE49-F238E27FC236}">
                <a16:creationId xmlns:a16="http://schemas.microsoft.com/office/drawing/2014/main" id="{00000000-0008-0000-0000-000031040000}"/>
              </a:ext>
            </a:extLst>
          </xdr:cNvPr>
          <xdr:cNvSpPr>
            <a:spLocks noChangeArrowheads="1"/>
          </xdr:cNvSpPr>
        </xdr:nvSpPr>
        <xdr:spPr bwMode="auto">
          <a:xfrm>
            <a:off x="702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074" name="Rectangle 50">
            <a:extLst>
              <a:ext uri="{FF2B5EF4-FFF2-40B4-BE49-F238E27FC236}">
                <a16:creationId xmlns:a16="http://schemas.microsoft.com/office/drawing/2014/main" id="{00000000-0008-0000-0000-000032040000}"/>
              </a:ext>
            </a:extLst>
          </xdr:cNvPr>
          <xdr:cNvSpPr>
            <a:spLocks noChangeArrowheads="1"/>
          </xdr:cNvSpPr>
        </xdr:nvSpPr>
        <xdr:spPr bwMode="auto">
          <a:xfrm>
            <a:off x="707" y="235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</xdr:grpSp>
    <xdr:clientData/>
  </xdr:twoCellAnchor>
  <xdr:twoCellAnchor editAs="oneCell">
    <xdr:from>
      <xdr:col>7</xdr:col>
      <xdr:colOff>428625</xdr:colOff>
      <xdr:row>17</xdr:row>
      <xdr:rowOff>57150</xdr:rowOff>
    </xdr:from>
    <xdr:to>
      <xdr:col>13</xdr:col>
      <xdr:colOff>228100</xdr:colOff>
      <xdr:row>18</xdr:row>
      <xdr:rowOff>114269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5825" y="3943350"/>
          <a:ext cx="4000000" cy="247619"/>
        </a:xfrm>
        <a:prstGeom prst="rect">
          <a:avLst/>
        </a:prstGeom>
        <a:solidFill>
          <a:srgbClr val="FFFF00"/>
        </a:solidFill>
      </xdr:spPr>
    </xdr:pic>
    <xdr:clientData/>
  </xdr:twoCellAnchor>
  <xdr:twoCellAnchor>
    <xdr:from>
      <xdr:col>7</xdr:col>
      <xdr:colOff>381000</xdr:colOff>
      <xdr:row>24</xdr:row>
      <xdr:rowOff>38099</xdr:rowOff>
    </xdr:from>
    <xdr:to>
      <xdr:col>15</xdr:col>
      <xdr:colOff>47625</xdr:colOff>
      <xdr:row>31</xdr:row>
      <xdr:rowOff>142874</xdr:rowOff>
    </xdr:to>
    <xdr:grpSp>
      <xdr:nvGrpSpPr>
        <xdr:cNvPr id="1077" name="Group 5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GrpSpPr>
          <a:grpSpLocks noChangeAspect="1"/>
        </xdr:cNvGrpSpPr>
      </xdr:nvGrpSpPr>
      <xdr:grpSpPr bwMode="auto">
        <a:xfrm>
          <a:off x="5438775" y="4610099"/>
          <a:ext cx="5086350" cy="1438275"/>
          <a:chOff x="454" y="255"/>
          <a:chExt cx="477" cy="306"/>
        </a:xfrm>
      </xdr:grpSpPr>
      <xdr:sp macro="" textlink="">
        <xdr:nvSpPr>
          <xdr:cNvPr id="1076" name="AutoShape 52">
            <a:extLst>
              <a:ext uri="{FF2B5EF4-FFF2-40B4-BE49-F238E27FC236}">
                <a16:creationId xmlns:a16="http://schemas.microsoft.com/office/drawing/2014/main" id="{00000000-0008-0000-0000-00003404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454" y="518"/>
            <a:ext cx="477" cy="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54">
            <a:extLst>
              <a:ext uri="{FF2B5EF4-FFF2-40B4-BE49-F238E27FC236}">
                <a16:creationId xmlns:a16="http://schemas.microsoft.com/office/drawing/2014/main" id="{00000000-0008-0000-0000-000036040000}"/>
              </a:ext>
            </a:extLst>
          </xdr:cNvPr>
          <xdr:cNvSpPr>
            <a:spLocks noChangeArrowheads="1"/>
          </xdr:cNvSpPr>
        </xdr:nvSpPr>
        <xdr:spPr bwMode="auto">
          <a:xfrm>
            <a:off x="491" y="255"/>
            <a:ext cx="13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2000" b="0" i="0" u="none" strike="noStrike" baseline="0">
                <a:solidFill>
                  <a:srgbClr val="000000"/>
                </a:solidFill>
                <a:latin typeface="Symbol"/>
              </a:rPr>
              <a:t></a:t>
            </a:r>
          </a:p>
        </xdr:txBody>
      </xdr:sp>
      <xdr:sp macro="" textlink="">
        <xdr:nvSpPr>
          <xdr:cNvPr id="1079" name="Rectangle 55">
            <a:extLst>
              <a:ext uri="{FF2B5EF4-FFF2-40B4-BE49-F238E27FC236}">
                <a16:creationId xmlns:a16="http://schemas.microsoft.com/office/drawing/2014/main" id="{00000000-0008-0000-0000-000037040000}"/>
              </a:ext>
            </a:extLst>
          </xdr:cNvPr>
          <xdr:cNvSpPr>
            <a:spLocks noChangeArrowheads="1"/>
          </xdr:cNvSpPr>
        </xdr:nvSpPr>
        <xdr:spPr bwMode="auto">
          <a:xfrm>
            <a:off x="553" y="255"/>
            <a:ext cx="13" cy="3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2000" b="0" i="0" u="none" strike="noStrike" baseline="0">
                <a:solidFill>
                  <a:srgbClr val="000000"/>
                </a:solidFill>
                <a:latin typeface="Symbol"/>
              </a:rPr>
              <a:t></a:t>
            </a:r>
          </a:p>
        </xdr:txBody>
      </xdr:sp>
      <xdr:sp macro="" textlink="">
        <xdr:nvSpPr>
          <xdr:cNvPr id="1082" name="Rectangle 58">
            <a:extLst>
              <a:ext uri="{FF2B5EF4-FFF2-40B4-BE49-F238E27FC236}">
                <a16:creationId xmlns:a16="http://schemas.microsoft.com/office/drawing/2014/main" id="{00000000-0008-0000-0000-00003A040000}"/>
              </a:ext>
            </a:extLst>
          </xdr:cNvPr>
          <xdr:cNvSpPr>
            <a:spLocks noChangeArrowheads="1"/>
          </xdr:cNvSpPr>
        </xdr:nvSpPr>
        <xdr:spPr bwMode="auto">
          <a:xfrm>
            <a:off x="458" y="266"/>
            <a:ext cx="13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</a:p>
        </xdr:txBody>
      </xdr:sp>
      <xdr:sp macro="" textlink="">
        <xdr:nvSpPr>
          <xdr:cNvPr id="1083" name="Rectangle 59">
            <a:extLst>
              <a:ext uri="{FF2B5EF4-FFF2-40B4-BE49-F238E27FC236}">
                <a16:creationId xmlns:a16="http://schemas.microsoft.com/office/drawing/2014/main" id="{00000000-0008-0000-0000-00003B040000}"/>
              </a:ext>
            </a:extLst>
          </xdr:cNvPr>
          <xdr:cNvSpPr>
            <a:spLocks noChangeArrowheads="1"/>
          </xdr:cNvSpPr>
        </xdr:nvSpPr>
        <xdr:spPr bwMode="auto">
          <a:xfrm>
            <a:off x="499" y="266"/>
            <a:ext cx="1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84" name="Rectangle 60">
            <a:extLst>
              <a:ext uri="{FF2B5EF4-FFF2-40B4-BE49-F238E27FC236}">
                <a16:creationId xmlns:a16="http://schemas.microsoft.com/office/drawing/2014/main" id="{00000000-0008-0000-0000-00003C040000}"/>
              </a:ext>
            </a:extLst>
          </xdr:cNvPr>
          <xdr:cNvSpPr>
            <a:spLocks noChangeArrowheads="1"/>
          </xdr:cNvSpPr>
        </xdr:nvSpPr>
        <xdr:spPr bwMode="auto">
          <a:xfrm>
            <a:off x="538" y="266"/>
            <a:ext cx="1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85" name="Rectangle 61">
            <a:extLst>
              <a:ext uri="{FF2B5EF4-FFF2-40B4-BE49-F238E27FC236}">
                <a16:creationId xmlns:a16="http://schemas.microsoft.com/office/drawing/2014/main" id="{00000000-0008-0000-0000-00003D040000}"/>
              </a:ext>
            </a:extLst>
          </xdr:cNvPr>
          <xdr:cNvSpPr>
            <a:spLocks noChangeArrowheads="1"/>
          </xdr:cNvSpPr>
        </xdr:nvSpPr>
        <xdr:spPr bwMode="auto">
          <a:xfrm>
            <a:off x="623" y="266"/>
            <a:ext cx="1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86" name="Rectangle 62">
            <a:extLst>
              <a:ext uri="{FF2B5EF4-FFF2-40B4-BE49-F238E27FC236}">
                <a16:creationId xmlns:a16="http://schemas.microsoft.com/office/drawing/2014/main" id="{00000000-0008-0000-0000-00003E040000}"/>
              </a:ext>
            </a:extLst>
          </xdr:cNvPr>
          <xdr:cNvSpPr>
            <a:spLocks noChangeArrowheads="1"/>
          </xdr:cNvSpPr>
        </xdr:nvSpPr>
        <xdr:spPr bwMode="auto">
          <a:xfrm>
            <a:off x="640" y="266"/>
            <a:ext cx="7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87" name="Rectangle 63">
            <a:extLst>
              <a:ext uri="{FF2B5EF4-FFF2-40B4-BE49-F238E27FC236}">
                <a16:creationId xmlns:a16="http://schemas.microsoft.com/office/drawing/2014/main" id="{00000000-0008-0000-0000-00003F040000}"/>
              </a:ext>
            </a:extLst>
          </xdr:cNvPr>
          <xdr:cNvSpPr>
            <a:spLocks noChangeArrowheads="1"/>
          </xdr:cNvSpPr>
        </xdr:nvSpPr>
        <xdr:spPr bwMode="auto">
          <a:xfrm>
            <a:off x="661" y="26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88" name="Rectangle 64">
            <a:extLst>
              <a:ext uri="{FF2B5EF4-FFF2-40B4-BE49-F238E27FC236}">
                <a16:creationId xmlns:a16="http://schemas.microsoft.com/office/drawing/2014/main" id="{00000000-0008-0000-0000-000040040000}"/>
              </a:ext>
            </a:extLst>
          </xdr:cNvPr>
          <xdr:cNvSpPr>
            <a:spLocks noChangeArrowheads="1"/>
          </xdr:cNvSpPr>
        </xdr:nvSpPr>
        <xdr:spPr bwMode="auto">
          <a:xfrm>
            <a:off x="720" y="266"/>
            <a:ext cx="11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v</a:t>
            </a:r>
          </a:p>
        </xdr:txBody>
      </xdr:sp>
      <xdr:sp macro="" textlink="">
        <xdr:nvSpPr>
          <xdr:cNvPr id="1089" name="Rectangle 65">
            <a:extLst>
              <a:ext uri="{FF2B5EF4-FFF2-40B4-BE49-F238E27FC236}">
                <a16:creationId xmlns:a16="http://schemas.microsoft.com/office/drawing/2014/main" id="{00000000-0008-0000-0000-000041040000}"/>
              </a:ext>
            </a:extLst>
          </xdr:cNvPr>
          <xdr:cNvSpPr>
            <a:spLocks noChangeArrowheads="1"/>
          </xdr:cNvSpPr>
        </xdr:nvSpPr>
        <xdr:spPr bwMode="auto">
          <a:xfrm>
            <a:off x="737" y="266"/>
            <a:ext cx="7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90" name="Rectangle 66">
            <a:extLst>
              <a:ext uri="{FF2B5EF4-FFF2-40B4-BE49-F238E27FC236}">
                <a16:creationId xmlns:a16="http://schemas.microsoft.com/office/drawing/2014/main" id="{00000000-0008-0000-0000-000042040000}"/>
              </a:ext>
            </a:extLst>
          </xdr:cNvPr>
          <xdr:cNvSpPr>
            <a:spLocks noChangeArrowheads="1"/>
          </xdr:cNvSpPr>
        </xdr:nvSpPr>
        <xdr:spPr bwMode="auto">
          <a:xfrm>
            <a:off x="758" y="26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</a:t>
            </a:r>
          </a:p>
        </xdr:txBody>
      </xdr:sp>
      <xdr:sp macro="" textlink="">
        <xdr:nvSpPr>
          <xdr:cNvPr id="1091" name="Rectangle 67">
            <a:extLst>
              <a:ext uri="{FF2B5EF4-FFF2-40B4-BE49-F238E27FC236}">
                <a16:creationId xmlns:a16="http://schemas.microsoft.com/office/drawing/2014/main" id="{00000000-0008-0000-0000-000043040000}"/>
              </a:ext>
            </a:extLst>
          </xdr:cNvPr>
          <xdr:cNvSpPr>
            <a:spLocks noChangeArrowheads="1"/>
          </xdr:cNvSpPr>
        </xdr:nvSpPr>
        <xdr:spPr bwMode="auto">
          <a:xfrm>
            <a:off x="546" y="276"/>
            <a:ext cx="10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n</a:t>
            </a:r>
          </a:p>
        </xdr:txBody>
      </xdr:sp>
      <xdr:sp macro="" textlink="">
        <xdr:nvSpPr>
          <xdr:cNvPr id="1092" name="Rectangle 68">
            <a:extLst>
              <a:ext uri="{FF2B5EF4-FFF2-40B4-BE49-F238E27FC236}">
                <a16:creationId xmlns:a16="http://schemas.microsoft.com/office/drawing/2014/main" id="{00000000-0008-0000-0000-000044040000}"/>
              </a:ext>
            </a:extLst>
          </xdr:cNvPr>
          <xdr:cNvSpPr>
            <a:spLocks noChangeArrowheads="1"/>
          </xdr:cNvSpPr>
        </xdr:nvSpPr>
        <xdr:spPr bwMode="auto">
          <a:xfrm>
            <a:off x="607" y="281"/>
            <a:ext cx="7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93" name="Rectangle 69">
            <a:extLst>
              <a:ext uri="{FF2B5EF4-FFF2-40B4-BE49-F238E27FC236}">
                <a16:creationId xmlns:a16="http://schemas.microsoft.com/office/drawing/2014/main" id="{00000000-0008-0000-0000-000045040000}"/>
              </a:ext>
            </a:extLst>
          </xdr:cNvPr>
          <xdr:cNvSpPr>
            <a:spLocks noChangeArrowheads="1"/>
          </xdr:cNvSpPr>
        </xdr:nvSpPr>
        <xdr:spPr bwMode="auto">
          <a:xfrm>
            <a:off x="631" y="276"/>
            <a:ext cx="9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ij</a:t>
            </a:r>
          </a:p>
        </xdr:txBody>
      </xdr:sp>
      <xdr:sp macro="" textlink="">
        <xdr:nvSpPr>
          <xdr:cNvPr id="1094" name="Rectangle 70">
            <a:extLst>
              <a:ext uri="{FF2B5EF4-FFF2-40B4-BE49-F238E27FC236}">
                <a16:creationId xmlns:a16="http://schemas.microsoft.com/office/drawing/2014/main" id="{00000000-0008-0000-0000-000046040000}"/>
              </a:ext>
            </a:extLst>
          </xdr:cNvPr>
          <xdr:cNvSpPr>
            <a:spLocks noChangeArrowheads="1"/>
          </xdr:cNvSpPr>
        </xdr:nvSpPr>
        <xdr:spPr bwMode="auto">
          <a:xfrm>
            <a:off x="705" y="281"/>
            <a:ext cx="7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j</a:t>
            </a:r>
          </a:p>
        </xdr:txBody>
      </xdr:sp>
      <xdr:sp macro="" textlink="">
        <xdr:nvSpPr>
          <xdr:cNvPr id="1095" name="Rectangle 71">
            <a:extLst>
              <a:ext uri="{FF2B5EF4-FFF2-40B4-BE49-F238E27FC236}">
                <a16:creationId xmlns:a16="http://schemas.microsoft.com/office/drawing/2014/main" id="{00000000-0008-0000-0000-000047040000}"/>
              </a:ext>
            </a:extLst>
          </xdr:cNvPr>
          <xdr:cNvSpPr>
            <a:spLocks noChangeArrowheads="1"/>
          </xdr:cNvSpPr>
        </xdr:nvSpPr>
        <xdr:spPr bwMode="auto">
          <a:xfrm>
            <a:off x="728" y="276"/>
            <a:ext cx="9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1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ij</a:t>
            </a:r>
          </a:p>
        </xdr:txBody>
      </xdr:sp>
      <xdr:sp macro="" textlink="">
        <xdr:nvSpPr>
          <xdr:cNvPr id="1096" name="Rectangle 72">
            <a:extLst>
              <a:ext uri="{FF2B5EF4-FFF2-40B4-BE49-F238E27FC236}">
                <a16:creationId xmlns:a16="http://schemas.microsoft.com/office/drawing/2014/main" id="{00000000-0008-0000-0000-000048040000}"/>
              </a:ext>
            </a:extLst>
          </xdr:cNvPr>
          <xdr:cNvSpPr>
            <a:spLocks noChangeArrowheads="1"/>
          </xdr:cNvSpPr>
        </xdr:nvSpPr>
        <xdr:spPr bwMode="auto">
          <a:xfrm>
            <a:off x="468" y="263"/>
            <a:ext cx="5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Symbol"/>
              </a:rPr>
              <a:t></a:t>
            </a:r>
          </a:p>
        </xdr:txBody>
      </xdr:sp>
      <xdr:sp macro="" textlink="">
        <xdr:nvSpPr>
          <xdr:cNvPr id="1097" name="Rectangle 73">
            <a:extLst>
              <a:ext uri="{FF2B5EF4-FFF2-40B4-BE49-F238E27FC236}">
                <a16:creationId xmlns:a16="http://schemas.microsoft.com/office/drawing/2014/main" id="{00000000-0008-0000-0000-000049040000}"/>
              </a:ext>
            </a:extLst>
          </xdr:cNvPr>
          <xdr:cNvSpPr>
            <a:spLocks noChangeArrowheads="1"/>
          </xdr:cNvSpPr>
        </xdr:nvSpPr>
        <xdr:spPr bwMode="auto">
          <a:xfrm>
            <a:off x="507" y="263"/>
            <a:ext cx="5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Symbol"/>
              </a:rPr>
              <a:t></a:t>
            </a:r>
          </a:p>
        </xdr:txBody>
      </xdr:sp>
      <xdr:sp macro="" textlink="">
        <xdr:nvSpPr>
          <xdr:cNvPr id="1098" name="Rectangle 74">
            <a:extLst>
              <a:ext uri="{FF2B5EF4-FFF2-40B4-BE49-F238E27FC236}">
                <a16:creationId xmlns:a16="http://schemas.microsoft.com/office/drawing/2014/main" id="{00000000-0008-0000-0000-00004A040000}"/>
              </a:ext>
            </a:extLst>
          </xdr:cNvPr>
          <xdr:cNvSpPr>
            <a:spLocks noChangeArrowheads="1"/>
          </xdr:cNvSpPr>
        </xdr:nvSpPr>
        <xdr:spPr bwMode="auto">
          <a:xfrm>
            <a:off x="547" y="263"/>
            <a:ext cx="5" cy="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Symbol"/>
              </a:rPr>
              <a:t></a:t>
            </a:r>
          </a:p>
        </xdr:txBody>
      </xdr:sp>
      <xdr:sp macro="" textlink="">
        <xdr:nvSpPr>
          <xdr:cNvPr id="1099" name="Rectangle 75">
            <a:extLst>
              <a:ext uri="{FF2B5EF4-FFF2-40B4-BE49-F238E27FC236}">
                <a16:creationId xmlns:a16="http://schemas.microsoft.com/office/drawing/2014/main" id="{00000000-0008-0000-0000-00004B040000}"/>
              </a:ext>
            </a:extLst>
          </xdr:cNvPr>
          <xdr:cNvSpPr>
            <a:spLocks noChangeArrowheads="1"/>
          </xdr:cNvSpPr>
        </xdr:nvSpPr>
        <xdr:spPr bwMode="auto">
          <a:xfrm>
            <a:off x="479" y="264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100" name="Rectangle 76">
            <a:extLst>
              <a:ext uri="{FF2B5EF4-FFF2-40B4-BE49-F238E27FC236}">
                <a16:creationId xmlns:a16="http://schemas.microsoft.com/office/drawing/2014/main" id="{00000000-0008-0000-0000-00004C040000}"/>
              </a:ext>
            </a:extLst>
          </xdr:cNvPr>
          <xdr:cNvSpPr>
            <a:spLocks noChangeArrowheads="1"/>
          </xdr:cNvSpPr>
        </xdr:nvSpPr>
        <xdr:spPr bwMode="auto">
          <a:xfrm>
            <a:off x="564" y="264"/>
            <a:ext cx="9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</a:t>
            </a:r>
          </a:p>
        </xdr:txBody>
      </xdr:sp>
      <xdr:sp macro="" textlink="">
        <xdr:nvSpPr>
          <xdr:cNvPr id="1101" name="Rectangle 77">
            <a:extLst>
              <a:ext uri="{FF2B5EF4-FFF2-40B4-BE49-F238E27FC236}">
                <a16:creationId xmlns:a16="http://schemas.microsoft.com/office/drawing/2014/main" id="{00000000-0008-0000-0000-00004D040000}"/>
              </a:ext>
            </a:extLst>
          </xdr:cNvPr>
          <xdr:cNvSpPr>
            <a:spLocks noChangeArrowheads="1"/>
          </xdr:cNvSpPr>
        </xdr:nvSpPr>
        <xdr:spPr bwMode="auto">
          <a:xfrm>
            <a:off x="647" y="264"/>
            <a:ext cx="12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</a:t>
            </a:r>
          </a:p>
        </xdr:txBody>
      </xdr:sp>
      <xdr:sp macro="" textlink="">
        <xdr:nvSpPr>
          <xdr:cNvPr id="1102" name="Rectangle 78">
            <a:extLst>
              <a:ext uri="{FF2B5EF4-FFF2-40B4-BE49-F238E27FC236}">
                <a16:creationId xmlns:a16="http://schemas.microsoft.com/office/drawing/2014/main" id="{00000000-0008-0000-0000-00004E040000}"/>
              </a:ext>
            </a:extLst>
          </xdr:cNvPr>
          <xdr:cNvSpPr>
            <a:spLocks noChangeArrowheads="1"/>
          </xdr:cNvSpPr>
        </xdr:nvSpPr>
        <xdr:spPr bwMode="auto">
          <a:xfrm>
            <a:off x="668" y="264"/>
            <a:ext cx="4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</a:t>
            </a:r>
          </a:p>
        </xdr:txBody>
      </xdr:sp>
      <xdr:sp macro="" textlink="">
        <xdr:nvSpPr>
          <xdr:cNvPr id="1103" name="Rectangle 79">
            <a:extLst>
              <a:ext uri="{FF2B5EF4-FFF2-40B4-BE49-F238E27FC236}">
                <a16:creationId xmlns:a16="http://schemas.microsoft.com/office/drawing/2014/main" id="{00000000-0008-0000-0000-00004F040000}"/>
              </a:ext>
            </a:extLst>
          </xdr:cNvPr>
          <xdr:cNvSpPr>
            <a:spLocks noChangeArrowheads="1"/>
          </xdr:cNvSpPr>
        </xdr:nvSpPr>
        <xdr:spPr bwMode="auto">
          <a:xfrm>
            <a:off x="585" y="257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</a:t>
            </a:r>
          </a:p>
        </xdr:txBody>
      </xdr:sp>
      <xdr:sp macro="" textlink="">
        <xdr:nvSpPr>
          <xdr:cNvPr id="1104" name="Rectangle 80">
            <a:extLst>
              <a:ext uri="{FF2B5EF4-FFF2-40B4-BE49-F238E27FC236}">
                <a16:creationId xmlns:a16="http://schemas.microsoft.com/office/drawing/2014/main" id="{00000000-0008-0000-0000-000050040000}"/>
              </a:ext>
            </a:extLst>
          </xdr:cNvPr>
          <xdr:cNvSpPr>
            <a:spLocks noChangeArrowheads="1"/>
          </xdr:cNvSpPr>
        </xdr:nvSpPr>
        <xdr:spPr bwMode="auto">
          <a:xfrm>
            <a:off x="585" y="27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</a:t>
            </a:r>
          </a:p>
        </xdr:txBody>
      </xdr:sp>
      <xdr:sp macro="" textlink="">
        <xdr:nvSpPr>
          <xdr:cNvPr id="1105" name="Rectangle 81">
            <a:extLst>
              <a:ext uri="{FF2B5EF4-FFF2-40B4-BE49-F238E27FC236}">
                <a16:creationId xmlns:a16="http://schemas.microsoft.com/office/drawing/2014/main" id="{00000000-0008-0000-0000-000051040000}"/>
              </a:ext>
            </a:extLst>
          </xdr:cNvPr>
          <xdr:cNvSpPr>
            <a:spLocks noChangeArrowheads="1"/>
          </xdr:cNvSpPr>
        </xdr:nvSpPr>
        <xdr:spPr bwMode="auto">
          <a:xfrm>
            <a:off x="585" y="26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</a:t>
            </a:r>
          </a:p>
        </xdr:txBody>
      </xdr:sp>
      <xdr:sp macro="" textlink="">
        <xdr:nvSpPr>
          <xdr:cNvPr id="1106" name="Rectangle 82">
            <a:extLst>
              <a:ext uri="{FF2B5EF4-FFF2-40B4-BE49-F238E27FC236}">
                <a16:creationId xmlns:a16="http://schemas.microsoft.com/office/drawing/2014/main" id="{00000000-0008-0000-0000-000052040000}"/>
              </a:ext>
            </a:extLst>
          </xdr:cNvPr>
          <xdr:cNvSpPr>
            <a:spLocks noChangeArrowheads="1"/>
          </xdr:cNvSpPr>
        </xdr:nvSpPr>
        <xdr:spPr bwMode="auto">
          <a:xfrm>
            <a:off x="672" y="257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</a:t>
            </a:r>
          </a:p>
        </xdr:txBody>
      </xdr:sp>
      <xdr:sp macro="" textlink="">
        <xdr:nvSpPr>
          <xdr:cNvPr id="1107" name="Rectangle 83">
            <a:extLst>
              <a:ext uri="{FF2B5EF4-FFF2-40B4-BE49-F238E27FC236}">
                <a16:creationId xmlns:a16="http://schemas.microsoft.com/office/drawing/2014/main" id="{00000000-0008-0000-0000-000053040000}"/>
              </a:ext>
            </a:extLst>
          </xdr:cNvPr>
          <xdr:cNvSpPr>
            <a:spLocks noChangeArrowheads="1"/>
          </xdr:cNvSpPr>
        </xdr:nvSpPr>
        <xdr:spPr bwMode="auto">
          <a:xfrm>
            <a:off x="672" y="27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</a:t>
            </a:r>
          </a:p>
        </xdr:txBody>
      </xdr:sp>
      <xdr:sp macro="" textlink="">
        <xdr:nvSpPr>
          <xdr:cNvPr id="1108" name="Rectangle 84">
            <a:extLst>
              <a:ext uri="{FF2B5EF4-FFF2-40B4-BE49-F238E27FC236}">
                <a16:creationId xmlns:a16="http://schemas.microsoft.com/office/drawing/2014/main" id="{00000000-0008-0000-0000-000054040000}"/>
              </a:ext>
            </a:extLst>
          </xdr:cNvPr>
          <xdr:cNvSpPr>
            <a:spLocks noChangeArrowheads="1"/>
          </xdr:cNvSpPr>
        </xdr:nvSpPr>
        <xdr:spPr bwMode="auto">
          <a:xfrm>
            <a:off x="672" y="26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</a:t>
            </a:r>
          </a:p>
        </xdr:txBody>
      </xdr:sp>
      <xdr:sp macro="" textlink="">
        <xdr:nvSpPr>
          <xdr:cNvPr id="1109" name="Rectangle 85">
            <a:extLst>
              <a:ext uri="{FF2B5EF4-FFF2-40B4-BE49-F238E27FC236}">
                <a16:creationId xmlns:a16="http://schemas.microsoft.com/office/drawing/2014/main" id="{00000000-0008-0000-0000-000055040000}"/>
              </a:ext>
            </a:extLst>
          </xdr:cNvPr>
          <xdr:cNvSpPr>
            <a:spLocks noChangeArrowheads="1"/>
          </xdr:cNvSpPr>
        </xdr:nvSpPr>
        <xdr:spPr bwMode="auto">
          <a:xfrm>
            <a:off x="744" y="264"/>
            <a:ext cx="12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</a:t>
            </a:r>
          </a:p>
        </xdr:txBody>
      </xdr:sp>
      <xdr:sp macro="" textlink="">
        <xdr:nvSpPr>
          <xdr:cNvPr id="1110" name="Rectangle 86">
            <a:extLst>
              <a:ext uri="{FF2B5EF4-FFF2-40B4-BE49-F238E27FC236}">
                <a16:creationId xmlns:a16="http://schemas.microsoft.com/office/drawing/2014/main" id="{00000000-0008-0000-0000-000056040000}"/>
              </a:ext>
            </a:extLst>
          </xdr:cNvPr>
          <xdr:cNvSpPr>
            <a:spLocks noChangeArrowheads="1"/>
          </xdr:cNvSpPr>
        </xdr:nvSpPr>
        <xdr:spPr bwMode="auto">
          <a:xfrm>
            <a:off x="764" y="264"/>
            <a:ext cx="4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</a:t>
            </a:r>
          </a:p>
        </xdr:txBody>
      </xdr:sp>
      <xdr:sp macro="" textlink="">
        <xdr:nvSpPr>
          <xdr:cNvPr id="1111" name="Rectangle 87">
            <a:extLst>
              <a:ext uri="{FF2B5EF4-FFF2-40B4-BE49-F238E27FC236}">
                <a16:creationId xmlns:a16="http://schemas.microsoft.com/office/drawing/2014/main" id="{00000000-0008-0000-0000-000057040000}"/>
              </a:ext>
            </a:extLst>
          </xdr:cNvPr>
          <xdr:cNvSpPr>
            <a:spLocks noChangeArrowheads="1"/>
          </xdr:cNvSpPr>
        </xdr:nvSpPr>
        <xdr:spPr bwMode="auto">
          <a:xfrm>
            <a:off x="768" y="264"/>
            <a:ext cx="4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</a:t>
            </a:r>
          </a:p>
        </xdr:txBody>
      </xdr:sp>
      <xdr:sp macro="" textlink="">
        <xdr:nvSpPr>
          <xdr:cNvPr id="1112" name="Rectangle 88">
            <a:extLst>
              <a:ext uri="{FF2B5EF4-FFF2-40B4-BE49-F238E27FC236}">
                <a16:creationId xmlns:a16="http://schemas.microsoft.com/office/drawing/2014/main" id="{00000000-0008-0000-0000-000058040000}"/>
              </a:ext>
            </a:extLst>
          </xdr:cNvPr>
          <xdr:cNvSpPr>
            <a:spLocks noChangeArrowheads="1"/>
          </xdr:cNvSpPr>
        </xdr:nvSpPr>
        <xdr:spPr bwMode="auto">
          <a:xfrm>
            <a:off x="685" y="257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</a:t>
            </a:r>
          </a:p>
        </xdr:txBody>
      </xdr:sp>
      <xdr:sp macro="" textlink="">
        <xdr:nvSpPr>
          <xdr:cNvPr id="1113" name="Rectangle 89">
            <a:extLst>
              <a:ext uri="{FF2B5EF4-FFF2-40B4-BE49-F238E27FC236}">
                <a16:creationId xmlns:a16="http://schemas.microsoft.com/office/drawing/2014/main" id="{00000000-0008-0000-0000-000059040000}"/>
              </a:ext>
            </a:extLst>
          </xdr:cNvPr>
          <xdr:cNvSpPr>
            <a:spLocks noChangeArrowheads="1"/>
          </xdr:cNvSpPr>
        </xdr:nvSpPr>
        <xdr:spPr bwMode="auto">
          <a:xfrm>
            <a:off x="685" y="27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</a:t>
            </a:r>
          </a:p>
        </xdr:txBody>
      </xdr:sp>
      <xdr:sp macro="" textlink="">
        <xdr:nvSpPr>
          <xdr:cNvPr id="1114" name="Rectangle 90">
            <a:extLst>
              <a:ext uri="{FF2B5EF4-FFF2-40B4-BE49-F238E27FC236}">
                <a16:creationId xmlns:a16="http://schemas.microsoft.com/office/drawing/2014/main" id="{00000000-0008-0000-0000-00005A040000}"/>
              </a:ext>
            </a:extLst>
          </xdr:cNvPr>
          <xdr:cNvSpPr>
            <a:spLocks noChangeArrowheads="1"/>
          </xdr:cNvSpPr>
        </xdr:nvSpPr>
        <xdr:spPr bwMode="auto">
          <a:xfrm>
            <a:off x="685" y="26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</a:t>
            </a:r>
          </a:p>
        </xdr:txBody>
      </xdr:sp>
      <xdr:sp macro="" textlink="">
        <xdr:nvSpPr>
          <xdr:cNvPr id="1115" name="Rectangle 91">
            <a:extLst>
              <a:ext uri="{FF2B5EF4-FFF2-40B4-BE49-F238E27FC236}">
                <a16:creationId xmlns:a16="http://schemas.microsoft.com/office/drawing/2014/main" id="{00000000-0008-0000-0000-00005B04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57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</a:t>
            </a:r>
          </a:p>
        </xdr:txBody>
      </xdr:sp>
      <xdr:sp macro="" textlink="">
        <xdr:nvSpPr>
          <xdr:cNvPr id="1116" name="Rectangle 92">
            <a:extLst>
              <a:ext uri="{FF2B5EF4-FFF2-40B4-BE49-F238E27FC236}">
                <a16:creationId xmlns:a16="http://schemas.microsoft.com/office/drawing/2014/main" id="{00000000-0008-0000-0000-00005C04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7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</a:t>
            </a:r>
          </a:p>
        </xdr:txBody>
      </xdr:sp>
      <xdr:sp macro="" textlink="">
        <xdr:nvSpPr>
          <xdr:cNvPr id="1117" name="Rectangle 93">
            <a:extLst>
              <a:ext uri="{FF2B5EF4-FFF2-40B4-BE49-F238E27FC236}">
                <a16:creationId xmlns:a16="http://schemas.microsoft.com/office/drawing/2014/main" id="{00000000-0008-0000-0000-00005D040000}"/>
              </a:ext>
            </a:extLst>
          </xdr:cNvPr>
          <xdr:cNvSpPr>
            <a:spLocks noChangeArrowheads="1"/>
          </xdr:cNvSpPr>
        </xdr:nvSpPr>
        <xdr:spPr bwMode="auto">
          <a:xfrm>
            <a:off x="772" y="262"/>
            <a:ext cx="6" cy="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</a:t>
            </a:r>
          </a:p>
        </xdr:txBody>
      </xdr:sp>
      <xdr:sp macro="" textlink="">
        <xdr:nvSpPr>
          <xdr:cNvPr id="1118" name="Rectangle 94">
            <a:extLst>
              <a:ext uri="{FF2B5EF4-FFF2-40B4-BE49-F238E27FC236}">
                <a16:creationId xmlns:a16="http://schemas.microsoft.com/office/drawing/2014/main" id="{00000000-0008-0000-0000-00005E040000}"/>
              </a:ext>
            </a:extLst>
          </xdr:cNvPr>
          <xdr:cNvSpPr>
            <a:spLocks noChangeArrowheads="1"/>
          </xdr:cNvSpPr>
        </xdr:nvSpPr>
        <xdr:spPr bwMode="auto">
          <a:xfrm>
            <a:off x="577" y="25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</a:t>
            </a:r>
          </a:p>
        </xdr:txBody>
      </xdr:sp>
      <xdr:sp macro="" textlink="">
        <xdr:nvSpPr>
          <xdr:cNvPr id="1119" name="Rectangle 95">
            <a:extLst>
              <a:ext uri="{FF2B5EF4-FFF2-40B4-BE49-F238E27FC236}">
                <a16:creationId xmlns:a16="http://schemas.microsoft.com/office/drawing/2014/main" id="{00000000-0008-0000-0000-00005F040000}"/>
              </a:ext>
            </a:extLst>
          </xdr:cNvPr>
          <xdr:cNvSpPr>
            <a:spLocks noChangeArrowheads="1"/>
          </xdr:cNvSpPr>
        </xdr:nvSpPr>
        <xdr:spPr bwMode="auto">
          <a:xfrm>
            <a:off x="577" y="26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</a:t>
            </a:r>
          </a:p>
        </xdr:txBody>
      </xdr:sp>
      <xdr:sp macro="" textlink="">
        <xdr:nvSpPr>
          <xdr:cNvPr id="1120" name="Rectangle 96">
            <a:extLst>
              <a:ext uri="{FF2B5EF4-FFF2-40B4-BE49-F238E27FC236}">
                <a16:creationId xmlns:a16="http://schemas.microsoft.com/office/drawing/2014/main" id="{00000000-0008-0000-0000-000060040000}"/>
              </a:ext>
            </a:extLst>
          </xdr:cNvPr>
          <xdr:cNvSpPr>
            <a:spLocks noChangeArrowheads="1"/>
          </xdr:cNvSpPr>
        </xdr:nvSpPr>
        <xdr:spPr bwMode="auto">
          <a:xfrm>
            <a:off x="577" y="27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</a:t>
            </a:r>
          </a:p>
        </xdr:txBody>
      </xdr:sp>
      <xdr:sp macro="" textlink="">
        <xdr:nvSpPr>
          <xdr:cNvPr id="1121" name="Rectangle 97">
            <a:extLst>
              <a:ext uri="{FF2B5EF4-FFF2-40B4-BE49-F238E27FC236}">
                <a16:creationId xmlns:a16="http://schemas.microsoft.com/office/drawing/2014/main" id="{00000000-0008-0000-0000-000061040000}"/>
              </a:ext>
            </a:extLst>
          </xdr:cNvPr>
          <xdr:cNvSpPr>
            <a:spLocks noChangeArrowheads="1"/>
          </xdr:cNvSpPr>
        </xdr:nvSpPr>
        <xdr:spPr bwMode="auto">
          <a:xfrm>
            <a:off x="780" y="25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</a:t>
            </a:r>
          </a:p>
        </xdr:txBody>
      </xdr:sp>
      <xdr:sp macro="" textlink="">
        <xdr:nvSpPr>
          <xdr:cNvPr id="1122" name="Rectangle 98">
            <a:extLst>
              <a:ext uri="{FF2B5EF4-FFF2-40B4-BE49-F238E27FC236}">
                <a16:creationId xmlns:a16="http://schemas.microsoft.com/office/drawing/2014/main" id="{00000000-0008-0000-0000-000062040000}"/>
              </a:ext>
            </a:extLst>
          </xdr:cNvPr>
          <xdr:cNvSpPr>
            <a:spLocks noChangeArrowheads="1"/>
          </xdr:cNvSpPr>
        </xdr:nvSpPr>
        <xdr:spPr bwMode="auto">
          <a:xfrm>
            <a:off x="780" y="26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</a:t>
            </a:r>
          </a:p>
        </xdr:txBody>
      </xdr:sp>
      <xdr:sp macro="" textlink="">
        <xdr:nvSpPr>
          <xdr:cNvPr id="1123" name="Rectangle 99">
            <a:extLst>
              <a:ext uri="{FF2B5EF4-FFF2-40B4-BE49-F238E27FC236}">
                <a16:creationId xmlns:a16="http://schemas.microsoft.com/office/drawing/2014/main" id="{00000000-0008-0000-0000-000063040000}"/>
              </a:ext>
            </a:extLst>
          </xdr:cNvPr>
          <xdr:cNvSpPr>
            <a:spLocks noChangeArrowheads="1"/>
          </xdr:cNvSpPr>
        </xdr:nvSpPr>
        <xdr:spPr bwMode="auto">
          <a:xfrm>
            <a:off x="780" y="276"/>
            <a:ext cx="8" cy="2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Symbol"/>
              </a:rPr>
              <a:t></a:t>
            </a:r>
          </a:p>
        </xdr:txBody>
      </xdr:sp>
      <xdr:sp macro="" textlink="">
        <xdr:nvSpPr>
          <xdr:cNvPr id="1124" name="Rectangle 100">
            <a:extLst>
              <a:ext uri="{FF2B5EF4-FFF2-40B4-BE49-F238E27FC236}">
                <a16:creationId xmlns:a16="http://schemas.microsoft.com/office/drawing/2014/main" id="{00000000-0008-0000-0000-000064040000}"/>
              </a:ext>
            </a:extLst>
          </xdr:cNvPr>
          <xdr:cNvSpPr>
            <a:spLocks noChangeArrowheads="1"/>
          </xdr:cNvSpPr>
        </xdr:nvSpPr>
        <xdr:spPr bwMode="auto">
          <a:xfrm>
            <a:off x="505" y="276"/>
            <a:ext cx="5" cy="1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7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1</a:t>
            </a:r>
          </a:p>
        </xdr:txBody>
      </xdr:sp>
      <xdr:sp macro="" textlink="">
        <xdr:nvSpPr>
          <xdr:cNvPr id="1125" name="Rectangle 101">
            <a:extLst>
              <a:ext uri="{FF2B5EF4-FFF2-40B4-BE49-F238E27FC236}">
                <a16:creationId xmlns:a16="http://schemas.microsoft.com/office/drawing/2014/main" id="{00000000-0008-0000-0000-000065040000}"/>
              </a:ext>
            </a:extLst>
          </xdr:cNvPr>
          <xdr:cNvSpPr>
            <a:spLocks noChangeArrowheads="1"/>
          </xdr:cNvSpPr>
        </xdr:nvSpPr>
        <xdr:spPr bwMode="auto">
          <a:xfrm>
            <a:off x="514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126" name="Rectangle 102">
            <a:extLst>
              <a:ext uri="{FF2B5EF4-FFF2-40B4-BE49-F238E27FC236}">
                <a16:creationId xmlns:a16="http://schemas.microsoft.com/office/drawing/2014/main" id="{00000000-0008-0000-0000-000066040000}"/>
              </a:ext>
            </a:extLst>
          </xdr:cNvPr>
          <xdr:cNvSpPr>
            <a:spLocks noChangeArrowheads="1"/>
          </xdr:cNvSpPr>
        </xdr:nvSpPr>
        <xdr:spPr bwMode="auto">
          <a:xfrm>
            <a:off x="519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127" name="Rectangle 103">
            <a:extLst>
              <a:ext uri="{FF2B5EF4-FFF2-40B4-BE49-F238E27FC236}">
                <a16:creationId xmlns:a16="http://schemas.microsoft.com/office/drawing/2014/main" id="{00000000-0008-0000-0000-000067040000}"/>
              </a:ext>
            </a:extLst>
          </xdr:cNvPr>
          <xdr:cNvSpPr>
            <a:spLocks noChangeArrowheads="1"/>
          </xdr:cNvSpPr>
        </xdr:nvSpPr>
        <xdr:spPr bwMode="auto">
          <a:xfrm>
            <a:off x="523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128" name="Rectangle 104">
            <a:extLst>
              <a:ext uri="{FF2B5EF4-FFF2-40B4-BE49-F238E27FC236}">
                <a16:creationId xmlns:a16="http://schemas.microsoft.com/office/drawing/2014/main" id="{00000000-0008-0000-0000-000068040000}"/>
              </a:ext>
            </a:extLst>
          </xdr:cNvPr>
          <xdr:cNvSpPr>
            <a:spLocks noChangeArrowheads="1"/>
          </xdr:cNvSpPr>
        </xdr:nvSpPr>
        <xdr:spPr bwMode="auto">
          <a:xfrm>
            <a:off x="528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.</a:t>
            </a:r>
          </a:p>
        </xdr:txBody>
      </xdr:sp>
      <xdr:sp macro="" textlink="">
        <xdr:nvSpPr>
          <xdr:cNvPr id="1129" name="Rectangle 105">
            <a:extLst>
              <a:ext uri="{FF2B5EF4-FFF2-40B4-BE49-F238E27FC236}">
                <a16:creationId xmlns:a16="http://schemas.microsoft.com/office/drawing/2014/main" id="{00000000-0008-0000-0000-000069040000}"/>
              </a:ext>
            </a:extLst>
          </xdr:cNvPr>
          <xdr:cNvSpPr>
            <a:spLocks noChangeArrowheads="1"/>
          </xdr:cNvSpPr>
        </xdr:nvSpPr>
        <xdr:spPr bwMode="auto">
          <a:xfrm>
            <a:off x="533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130" name="Rectangle 106">
            <a:extLst>
              <a:ext uri="{FF2B5EF4-FFF2-40B4-BE49-F238E27FC236}">
                <a16:creationId xmlns:a16="http://schemas.microsoft.com/office/drawing/2014/main" id="{00000000-0008-0000-0000-00006A040000}"/>
              </a:ext>
            </a:extLst>
          </xdr:cNvPr>
          <xdr:cNvSpPr>
            <a:spLocks noChangeArrowheads="1"/>
          </xdr:cNvSpPr>
        </xdr:nvSpPr>
        <xdr:spPr bwMode="auto">
          <a:xfrm>
            <a:off x="593" y="266"/>
            <a:ext cx="28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max</a:t>
            </a:r>
          </a:p>
        </xdr:txBody>
      </xdr:sp>
      <xdr:sp macro="" textlink="">
        <xdr:nvSpPr>
          <xdr:cNvPr id="1131" name="Rectangle 107">
            <a:extLst>
              <a:ext uri="{FF2B5EF4-FFF2-40B4-BE49-F238E27FC236}">
                <a16:creationId xmlns:a16="http://schemas.microsoft.com/office/drawing/2014/main" id="{00000000-0008-0000-0000-00006B040000}"/>
              </a:ext>
            </a:extLst>
          </xdr:cNvPr>
          <xdr:cNvSpPr>
            <a:spLocks noChangeArrowheads="1"/>
          </xdr:cNvSpPr>
        </xdr:nvSpPr>
        <xdr:spPr bwMode="auto">
          <a:xfrm>
            <a:off x="680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132" name="Rectangle 108">
            <a:extLst>
              <a:ext uri="{FF2B5EF4-FFF2-40B4-BE49-F238E27FC236}">
                <a16:creationId xmlns:a16="http://schemas.microsoft.com/office/drawing/2014/main" id="{00000000-0008-0000-0000-00006C040000}"/>
              </a:ext>
            </a:extLst>
          </xdr:cNvPr>
          <xdr:cNvSpPr>
            <a:spLocks noChangeArrowheads="1"/>
          </xdr:cNvSpPr>
        </xdr:nvSpPr>
        <xdr:spPr bwMode="auto">
          <a:xfrm>
            <a:off x="693" y="266"/>
            <a:ext cx="25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min</a:t>
            </a:r>
          </a:p>
        </xdr:txBody>
      </xdr:sp>
      <xdr:sp macro="" textlink="">
        <xdr:nvSpPr>
          <xdr:cNvPr id="1133" name="Rectangle 109">
            <a:extLst>
              <a:ext uri="{FF2B5EF4-FFF2-40B4-BE49-F238E27FC236}">
                <a16:creationId xmlns:a16="http://schemas.microsoft.com/office/drawing/2014/main" id="{00000000-0008-0000-0000-00006D040000}"/>
              </a:ext>
            </a:extLst>
          </xdr:cNvPr>
          <xdr:cNvSpPr>
            <a:spLocks noChangeArrowheads="1"/>
          </xdr:cNvSpPr>
        </xdr:nvSpPr>
        <xdr:spPr bwMode="auto">
          <a:xfrm>
            <a:off x="788" y="266"/>
            <a:ext cx="4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,</a:t>
            </a:r>
          </a:p>
        </xdr:txBody>
      </xdr:sp>
      <xdr:sp macro="" textlink="">
        <xdr:nvSpPr>
          <xdr:cNvPr id="1134" name="Rectangle 110">
            <a:extLst>
              <a:ext uri="{FF2B5EF4-FFF2-40B4-BE49-F238E27FC236}">
                <a16:creationId xmlns:a16="http://schemas.microsoft.com/office/drawing/2014/main" id="{00000000-0008-0000-0000-00006E040000}"/>
              </a:ext>
            </a:extLst>
          </xdr:cNvPr>
          <xdr:cNvSpPr>
            <a:spLocks noChangeArrowheads="1"/>
          </xdr:cNvSpPr>
        </xdr:nvSpPr>
        <xdr:spPr bwMode="auto">
          <a:xfrm>
            <a:off x="793" y="266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  <xdr:sp macro="" textlink="">
        <xdr:nvSpPr>
          <xdr:cNvPr id="1135" name="Rectangle 111">
            <a:extLst>
              <a:ext uri="{FF2B5EF4-FFF2-40B4-BE49-F238E27FC236}">
                <a16:creationId xmlns:a16="http://schemas.microsoft.com/office/drawing/2014/main" id="{00000000-0008-0000-0000-00006F040000}"/>
              </a:ext>
            </a:extLst>
          </xdr:cNvPr>
          <xdr:cNvSpPr>
            <a:spLocks noChangeArrowheads="1"/>
          </xdr:cNvSpPr>
        </xdr:nvSpPr>
        <xdr:spPr bwMode="auto">
          <a:xfrm>
            <a:off x="833" y="266"/>
            <a:ext cx="40" cy="1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       </a:t>
            </a:r>
          </a:p>
        </xdr:txBody>
      </xdr:sp>
    </xdr:grpSp>
    <xdr:clientData/>
  </xdr:twoCellAnchor>
  <xdr:twoCellAnchor editAs="oneCell">
    <xdr:from>
      <xdr:col>7</xdr:col>
      <xdr:colOff>333375</xdr:colOff>
      <xdr:row>27</xdr:row>
      <xdr:rowOff>38099</xdr:rowOff>
    </xdr:from>
    <xdr:to>
      <xdr:col>14</xdr:col>
      <xdr:colOff>75631</xdr:colOff>
      <xdr:row>29</xdr:row>
      <xdr:rowOff>76147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00575" y="6210299"/>
          <a:ext cx="4552381" cy="4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342900</xdr:colOff>
      <xdr:row>32</xdr:row>
      <xdr:rowOff>76200</xdr:rowOff>
    </xdr:from>
    <xdr:to>
      <xdr:col>13</xdr:col>
      <xdr:colOff>256661</xdr:colOff>
      <xdr:row>34</xdr:row>
      <xdr:rowOff>190438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10100" y="7391400"/>
          <a:ext cx="4114286" cy="4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285750</xdr:colOff>
      <xdr:row>35</xdr:row>
      <xdr:rowOff>0</xdr:rowOff>
    </xdr:from>
    <xdr:to>
      <xdr:col>13</xdr:col>
      <xdr:colOff>237606</xdr:colOff>
      <xdr:row>37</xdr:row>
      <xdr:rowOff>114238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8001000"/>
          <a:ext cx="4152381" cy="495238"/>
        </a:xfrm>
        <a:prstGeom prst="rect">
          <a:avLst/>
        </a:prstGeom>
      </xdr:spPr>
    </xdr:pic>
    <xdr:clientData/>
  </xdr:twoCellAnchor>
  <xdr:twoCellAnchor editAs="oneCell">
    <xdr:from>
      <xdr:col>7</xdr:col>
      <xdr:colOff>295275</xdr:colOff>
      <xdr:row>40</xdr:row>
      <xdr:rowOff>57150</xdr:rowOff>
    </xdr:from>
    <xdr:to>
      <xdr:col>13</xdr:col>
      <xdr:colOff>142369</xdr:colOff>
      <xdr:row>43</xdr:row>
      <xdr:rowOff>18983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62475" y="9201150"/>
          <a:ext cx="4047619" cy="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workbookViewId="0">
      <selection activeCell="M65" sqref="M65"/>
    </sheetView>
  </sheetViews>
  <sheetFormatPr defaultRowHeight="15" x14ac:dyDescent="0.25"/>
  <cols>
    <col min="1" max="1" width="11.42578125" style="1" customWidth="1"/>
    <col min="2" max="2" width="10.28515625" style="1" customWidth="1"/>
    <col min="3" max="3" width="12.28515625" style="1" customWidth="1"/>
    <col min="4" max="4" width="10.28515625" style="1" customWidth="1"/>
    <col min="5" max="5" width="13.28515625" style="1" customWidth="1"/>
    <col min="6" max="8" width="9.140625" style="1"/>
    <col min="9" max="9" width="11.5703125" style="1" customWidth="1"/>
    <col min="10" max="10" width="11.42578125" style="1" customWidth="1"/>
    <col min="11" max="11" width="10.140625" style="1" customWidth="1"/>
    <col min="12" max="12" width="11.5703125" style="1" customWidth="1"/>
    <col min="13" max="15" width="9.140625" style="1"/>
    <col min="16" max="16" width="9.42578125" style="1" bestFit="1" customWidth="1"/>
    <col min="17" max="16384" width="9.140625" style="1"/>
  </cols>
  <sheetData>
    <row r="1" spans="1:12" x14ac:dyDescent="0.25">
      <c r="A1" s="5" t="s">
        <v>10</v>
      </c>
      <c r="B1" s="5"/>
      <c r="C1" s="5"/>
      <c r="D1" s="5"/>
      <c r="E1" s="5"/>
    </row>
    <row r="2" spans="1:12" x14ac:dyDescent="0.25">
      <c r="A2" s="2"/>
      <c r="B2" s="2" t="s">
        <v>11</v>
      </c>
      <c r="C2" s="2" t="s">
        <v>12</v>
      </c>
      <c r="D2" s="2" t="s">
        <v>13</v>
      </c>
      <c r="E2" s="2" t="s">
        <v>14</v>
      </c>
      <c r="H2" s="2"/>
      <c r="I2" s="2" t="s">
        <v>11</v>
      </c>
      <c r="J2" s="2" t="s">
        <v>12</v>
      </c>
      <c r="K2" s="2" t="s">
        <v>13</v>
      </c>
      <c r="L2" s="2" t="s">
        <v>14</v>
      </c>
    </row>
    <row r="3" spans="1:12" x14ac:dyDescent="0.25">
      <c r="A3" s="2" t="s">
        <v>0</v>
      </c>
      <c r="B3" s="3">
        <v>20000000</v>
      </c>
      <c r="C3" s="3">
        <v>6.5</v>
      </c>
      <c r="D3" s="3">
        <v>6</v>
      </c>
      <c r="E3" s="3">
        <v>6</v>
      </c>
      <c r="H3" s="2" t="s">
        <v>15</v>
      </c>
      <c r="I3" s="3">
        <v>0.2</v>
      </c>
      <c r="J3" s="3">
        <v>0.3</v>
      </c>
      <c r="K3" s="3">
        <v>0.25</v>
      </c>
      <c r="L3" s="3">
        <v>0.25</v>
      </c>
    </row>
    <row r="4" spans="1:12" x14ac:dyDescent="0.25">
      <c r="A4" s="2" t="s">
        <v>1</v>
      </c>
      <c r="B4" s="3">
        <v>25000000</v>
      </c>
      <c r="C4" s="3">
        <v>6</v>
      </c>
      <c r="D4" s="3">
        <v>7</v>
      </c>
      <c r="E4" s="3">
        <v>5</v>
      </c>
    </row>
    <row r="5" spans="1:12" x14ac:dyDescent="0.25">
      <c r="A5" s="2" t="s">
        <v>2</v>
      </c>
      <c r="B5" s="3">
        <v>20000000</v>
      </c>
      <c r="C5" s="3">
        <v>6</v>
      </c>
      <c r="D5" s="3">
        <v>8</v>
      </c>
      <c r="E5" s="3">
        <v>5</v>
      </c>
    </row>
    <row r="6" spans="1:12" x14ac:dyDescent="0.25">
      <c r="A6" s="2" t="s">
        <v>3</v>
      </c>
      <c r="B6" s="3">
        <v>35000000</v>
      </c>
      <c r="C6" s="3">
        <v>7</v>
      </c>
      <c r="D6" s="3">
        <v>8</v>
      </c>
      <c r="E6" s="3">
        <v>6</v>
      </c>
    </row>
    <row r="7" spans="1:12" x14ac:dyDescent="0.25">
      <c r="A7" s="2" t="s">
        <v>4</v>
      </c>
      <c r="B7" s="3">
        <v>45000000</v>
      </c>
      <c r="C7" s="3">
        <v>7.5</v>
      </c>
      <c r="D7" s="3">
        <v>9</v>
      </c>
      <c r="E7" s="3">
        <v>6</v>
      </c>
    </row>
    <row r="8" spans="1:12" x14ac:dyDescent="0.25">
      <c r="A8" s="1" t="s">
        <v>18</v>
      </c>
      <c r="B8" s="1">
        <f>(B3^2+B4^2+B5^2+B6^2+B7^2)^0.5</f>
        <v>68373971.65588671</v>
      </c>
      <c r="C8" s="1">
        <f t="shared" ref="C8:E8" si="0">(C3^2+C4^2+C5^2+C6^2+C7^2)^0.5</f>
        <v>14.815532390029054</v>
      </c>
      <c r="D8" s="1">
        <f t="shared" si="0"/>
        <v>17.146428199482248</v>
      </c>
      <c r="E8" s="1">
        <f t="shared" si="0"/>
        <v>12.569805089976535</v>
      </c>
    </row>
    <row r="10" spans="1:12" x14ac:dyDescent="0.25">
      <c r="A10" s="5" t="s">
        <v>16</v>
      </c>
      <c r="B10" s="5"/>
      <c r="C10" s="5"/>
      <c r="D10" s="5"/>
      <c r="E10" s="5"/>
    </row>
    <row r="11" spans="1:12" x14ac:dyDescent="0.25">
      <c r="A11" s="2"/>
      <c r="B11" s="2" t="s">
        <v>11</v>
      </c>
      <c r="C11" s="2" t="s">
        <v>12</v>
      </c>
      <c r="D11" s="2" t="s">
        <v>13</v>
      </c>
      <c r="E11" s="2" t="s">
        <v>14</v>
      </c>
    </row>
    <row r="12" spans="1:12" x14ac:dyDescent="0.25">
      <c r="A12" s="2" t="s">
        <v>0</v>
      </c>
      <c r="B12" s="3">
        <f>B3/$B$8</f>
        <v>0.29250896965085227</v>
      </c>
      <c r="C12" s="3">
        <f>C3/$C$8</f>
        <v>0.43872874959083757</v>
      </c>
      <c r="D12" s="3">
        <f>D3/$D$8</f>
        <v>0.34992710611188255</v>
      </c>
      <c r="E12" s="3">
        <f>E3/$E$8</f>
        <v>0.47733437050543803</v>
      </c>
      <c r="J12" s="4"/>
    </row>
    <row r="13" spans="1:12" x14ac:dyDescent="0.25">
      <c r="A13" s="2" t="s">
        <v>1</v>
      </c>
      <c r="B13" s="3">
        <f>B4/$B$8</f>
        <v>0.36563621206356534</v>
      </c>
      <c r="C13" s="3">
        <f t="shared" ref="C13:C16" si="1">C4/$C$8</f>
        <v>0.40498038423769622</v>
      </c>
      <c r="D13" s="3">
        <f t="shared" ref="D13:D16" si="2">D4/$D$8</f>
        <v>0.40824829046386296</v>
      </c>
      <c r="E13" s="3">
        <f t="shared" ref="E13:E16" si="3">E4/$E$8</f>
        <v>0.39777864208786501</v>
      </c>
    </row>
    <row r="14" spans="1:12" x14ac:dyDescent="0.25">
      <c r="A14" s="2" t="s">
        <v>2</v>
      </c>
      <c r="B14" s="3">
        <f t="shared" ref="B14:B16" si="4">B5/$B$8</f>
        <v>0.29250896965085227</v>
      </c>
      <c r="C14" s="3">
        <f t="shared" si="1"/>
        <v>0.40498038423769622</v>
      </c>
      <c r="D14" s="3">
        <f t="shared" si="2"/>
        <v>0.46656947481584343</v>
      </c>
      <c r="E14" s="3">
        <f t="shared" si="3"/>
        <v>0.39777864208786501</v>
      </c>
    </row>
    <row r="15" spans="1:12" x14ac:dyDescent="0.25">
      <c r="A15" s="2" t="s">
        <v>3</v>
      </c>
      <c r="B15" s="3">
        <f t="shared" si="4"/>
        <v>0.51189069688899147</v>
      </c>
      <c r="C15" s="3">
        <f t="shared" si="1"/>
        <v>0.47247711494397893</v>
      </c>
      <c r="D15" s="3">
        <f t="shared" si="2"/>
        <v>0.46656947481584343</v>
      </c>
      <c r="E15" s="3">
        <f t="shared" si="3"/>
        <v>0.47733437050543803</v>
      </c>
    </row>
    <row r="16" spans="1:12" x14ac:dyDescent="0.25">
      <c r="A16" s="2" t="s">
        <v>4</v>
      </c>
      <c r="B16" s="3">
        <f t="shared" si="4"/>
        <v>0.6581451817144176</v>
      </c>
      <c r="C16" s="3">
        <f t="shared" si="1"/>
        <v>0.50622548029712022</v>
      </c>
      <c r="D16" s="3">
        <f t="shared" si="2"/>
        <v>0.52489065916782385</v>
      </c>
      <c r="E16" s="3">
        <f t="shared" si="3"/>
        <v>0.47733437050543803</v>
      </c>
    </row>
    <row r="18" spans="1:17" x14ac:dyDescent="0.25">
      <c r="A18" s="5" t="s">
        <v>17</v>
      </c>
      <c r="B18" s="5"/>
      <c r="C18" s="5"/>
      <c r="D18" s="5"/>
      <c r="E18" s="5"/>
    </row>
    <row r="19" spans="1:17" x14ac:dyDescent="0.25">
      <c r="A19" s="2"/>
      <c r="B19" s="2" t="s">
        <v>11</v>
      </c>
      <c r="C19" s="2" t="s">
        <v>12</v>
      </c>
      <c r="D19" s="2" t="s">
        <v>13</v>
      </c>
      <c r="E19" s="2" t="s">
        <v>14</v>
      </c>
    </row>
    <row r="20" spans="1:17" x14ac:dyDescent="0.25">
      <c r="A20" s="2" t="s">
        <v>0</v>
      </c>
      <c r="B20" s="3">
        <f>B12*$I$3</f>
        <v>5.8501793930170458E-2</v>
      </c>
      <c r="C20" s="3">
        <f>C12*$J$3</f>
        <v>0.13161862487725126</v>
      </c>
      <c r="D20" s="3">
        <f>D12*$K$3</f>
        <v>8.7481776527970637E-2</v>
      </c>
      <c r="E20" s="3">
        <f>E12*$L$3</f>
        <v>0.11933359262635951</v>
      </c>
    </row>
    <row r="21" spans="1:17" x14ac:dyDescent="0.25">
      <c r="A21" s="2" t="s">
        <v>1</v>
      </c>
      <c r="B21" s="3">
        <f t="shared" ref="B21:B24" si="5">B13*$I$3</f>
        <v>7.3127242412713067E-2</v>
      </c>
      <c r="C21" s="3">
        <f t="shared" ref="C21:C24" si="6">C13*$J$3</f>
        <v>0.12149411527130886</v>
      </c>
      <c r="D21" s="3">
        <f t="shared" ref="D21:D24" si="7">D13*$K$3</f>
        <v>0.10206207261596574</v>
      </c>
      <c r="E21" s="3">
        <f t="shared" ref="E21:E24" si="8">E13*$L$3</f>
        <v>9.9444660521966252E-2</v>
      </c>
    </row>
    <row r="22" spans="1:17" x14ac:dyDescent="0.25">
      <c r="A22" s="2" t="s">
        <v>2</v>
      </c>
      <c r="B22" s="3">
        <f t="shared" si="5"/>
        <v>5.8501793930170458E-2</v>
      </c>
      <c r="C22" s="3">
        <f t="shared" si="6"/>
        <v>0.12149411527130886</v>
      </c>
      <c r="D22" s="3">
        <f t="shared" si="7"/>
        <v>0.11664236870396086</v>
      </c>
      <c r="E22" s="3">
        <f>E14*$L$3</f>
        <v>9.9444660521966252E-2</v>
      </c>
    </row>
    <row r="23" spans="1:17" x14ac:dyDescent="0.25">
      <c r="A23" s="2" t="s">
        <v>3</v>
      </c>
      <c r="B23" s="3">
        <f t="shared" si="5"/>
        <v>0.1023781393777983</v>
      </c>
      <c r="C23" s="3">
        <f t="shared" si="6"/>
        <v>0.14174313448319367</v>
      </c>
      <c r="D23" s="3">
        <f t="shared" si="7"/>
        <v>0.11664236870396086</v>
      </c>
      <c r="E23" s="3">
        <f t="shared" si="8"/>
        <v>0.11933359262635951</v>
      </c>
    </row>
    <row r="24" spans="1:17" x14ac:dyDescent="0.25">
      <c r="A24" s="2" t="s">
        <v>4</v>
      </c>
      <c r="B24" s="3">
        <f t="shared" si="5"/>
        <v>0.13162903634288353</v>
      </c>
      <c r="C24" s="3">
        <f t="shared" si="6"/>
        <v>0.15186764408913606</v>
      </c>
      <c r="D24" s="3">
        <f t="shared" si="7"/>
        <v>0.13122266479195596</v>
      </c>
      <c r="E24" s="3">
        <f t="shared" si="8"/>
        <v>0.11933359262635951</v>
      </c>
      <c r="P24" s="1" t="s">
        <v>19</v>
      </c>
      <c r="Q24" s="1" t="s">
        <v>20</v>
      </c>
    </row>
    <row r="25" spans="1:17" x14ac:dyDescent="0.25">
      <c r="O25" s="1" t="s">
        <v>5</v>
      </c>
      <c r="P25" s="1" t="s">
        <v>21</v>
      </c>
      <c r="Q25" s="1" t="s">
        <v>22</v>
      </c>
    </row>
    <row r="26" spans="1:17" x14ac:dyDescent="0.25">
      <c r="A26" s="2" t="s">
        <v>5</v>
      </c>
      <c r="B26" s="3">
        <f>MIN(B20:B24)</f>
        <v>5.8501793930170458E-2</v>
      </c>
      <c r="C26" s="3">
        <f>MIN(C20:C24)</f>
        <v>0.12149411527130886</v>
      </c>
      <c r="D26" s="3">
        <f>MAX(D20:D24)</f>
        <v>0.13122266479195596</v>
      </c>
      <c r="E26" s="3">
        <f>MAX(E20:E24)</f>
        <v>0.11933359262635951</v>
      </c>
      <c r="O26" s="1" t="s">
        <v>6</v>
      </c>
      <c r="P26" s="1" t="s">
        <v>22</v>
      </c>
      <c r="Q26" s="1" t="s">
        <v>21</v>
      </c>
    </row>
    <row r="27" spans="1:17" x14ac:dyDescent="0.25">
      <c r="A27" s="2" t="s">
        <v>6</v>
      </c>
      <c r="B27" s="3">
        <f>MAX(B20:B24)</f>
        <v>0.13162903634288353</v>
      </c>
      <c r="C27" s="3">
        <f>MAX(C20:C24)</f>
        <v>0.15186764408913606</v>
      </c>
      <c r="D27" s="3">
        <f>MIN(D20:D24)</f>
        <v>8.7481776527970637E-2</v>
      </c>
      <c r="E27" s="3">
        <f>MIN(E20:E24)</f>
        <v>9.9444660521966252E-2</v>
      </c>
    </row>
    <row r="30" spans="1:17" x14ac:dyDescent="0.25">
      <c r="E30" s="4"/>
    </row>
    <row r="32" spans="1:17" x14ac:dyDescent="0.25">
      <c r="A32" s="2"/>
      <c r="B32" s="2" t="s">
        <v>7</v>
      </c>
      <c r="C32" s="2" t="s">
        <v>8</v>
      </c>
    </row>
    <row r="33" spans="1:3" x14ac:dyDescent="0.25">
      <c r="A33" s="2" t="s">
        <v>0</v>
      </c>
      <c r="B33" s="3">
        <f>((B20-$B$26)^2+(C20-$C$26)^2+(D20-$D$26)^2+(E20-$E$26)^2)^0.5</f>
        <v>4.4897338461018704E-2</v>
      </c>
      <c r="C33" s="3">
        <f>((B20-$B$27)^2+(C20-$C$27)^2+(D20-$D$27)^2+(E20-$E$27)^2)</f>
        <v>6.1531859821841459E-3</v>
      </c>
    </row>
    <row r="34" spans="1:3" x14ac:dyDescent="0.25">
      <c r="A34" s="2" t="s">
        <v>1</v>
      </c>
      <c r="B34" s="3">
        <f t="shared" ref="B34:B37" si="9">((B21-$B$26)^2+(C21-$C$26)^2+(D21-$D$26)^2+(E21-$E$26)^2)^0.5</f>
        <v>3.820750580217315E-2</v>
      </c>
      <c r="C34" s="3">
        <f t="shared" ref="C34:C37" si="10">((B21-$B$27)^2+(C21-$C$27)^2+(D21-$D$27)^2+(E21-$E$27)^2)</f>
        <v>4.5575961799091142E-3</v>
      </c>
    </row>
    <row r="35" spans="1:3" x14ac:dyDescent="0.25">
      <c r="A35" s="2" t="s">
        <v>2</v>
      </c>
      <c r="B35" s="3">
        <f>((B22-$B$26)^2+(C22-$C$26)^2+(D22-$D$26)^2+(E22-$E$26)^2)^0.5</f>
        <v>2.4660791841844214E-2</v>
      </c>
      <c r="C35" s="3">
        <f t="shared" si="10"/>
        <v>7.120484971789502E-3</v>
      </c>
    </row>
    <row r="36" spans="1:3" x14ac:dyDescent="0.25">
      <c r="A36" s="2" t="s">
        <v>3</v>
      </c>
      <c r="B36" s="3">
        <f t="shared" si="9"/>
        <v>5.0475157284514308E-2</v>
      </c>
      <c r="C36" s="3">
        <f t="shared" si="10"/>
        <v>2.2040304243304393E-3</v>
      </c>
    </row>
    <row r="37" spans="1:3" x14ac:dyDescent="0.25">
      <c r="A37" s="2" t="s">
        <v>4</v>
      </c>
      <c r="B37" s="3">
        <f t="shared" si="9"/>
        <v>7.9184246133527592E-2</v>
      </c>
      <c r="C37" s="3">
        <f t="shared" si="10"/>
        <v>2.3088349263756139E-3</v>
      </c>
    </row>
    <row r="40" spans="1:3" x14ac:dyDescent="0.25">
      <c r="A40" s="2"/>
      <c r="B40" s="2" t="s">
        <v>9</v>
      </c>
      <c r="C40" s="2" t="s">
        <v>23</v>
      </c>
    </row>
    <row r="41" spans="1:3" x14ac:dyDescent="0.25">
      <c r="A41" s="2" t="s">
        <v>0</v>
      </c>
      <c r="B41" s="3">
        <f>C33/(C33+B33)</f>
        <v>0.12053129814621161</v>
      </c>
      <c r="C41" s="3">
        <f>B41/SUM($B$41:$B$45)</f>
        <v>0.23120360170907628</v>
      </c>
    </row>
    <row r="42" spans="1:3" x14ac:dyDescent="0.25">
      <c r="A42" s="2" t="s">
        <v>1</v>
      </c>
      <c r="B42" s="3">
        <f t="shared" ref="B42:B45" si="11">C34/(C34+B34)</f>
        <v>0.10657278876170241</v>
      </c>
      <c r="C42" s="3">
        <f>B42/SUM($B$41:$B$45)</f>
        <v>0.20442833508684499</v>
      </c>
    </row>
    <row r="43" spans="1:3" x14ac:dyDescent="0.25">
      <c r="A43" s="2" t="s">
        <v>2</v>
      </c>
      <c r="B43" s="3">
        <f t="shared" si="11"/>
        <v>0.22404653574946731</v>
      </c>
      <c r="C43" s="3">
        <f t="shared" ref="C43:C45" si="12">B43/SUM($B$41:$B$45)</f>
        <v>0.42976693035265617</v>
      </c>
    </row>
    <row r="44" spans="1:3" x14ac:dyDescent="0.25">
      <c r="A44" s="2" t="s">
        <v>3</v>
      </c>
      <c r="B44" s="3">
        <f t="shared" si="11"/>
        <v>4.1838732148111429E-2</v>
      </c>
      <c r="C44" s="3">
        <f t="shared" si="12"/>
        <v>8.0255217626963873E-2</v>
      </c>
    </row>
    <row r="45" spans="1:3" x14ac:dyDescent="0.25">
      <c r="A45" s="2" t="s">
        <v>4</v>
      </c>
      <c r="B45" s="3">
        <f t="shared" si="11"/>
        <v>2.8331668116443606E-2</v>
      </c>
      <c r="C45" s="3">
        <f t="shared" si="12"/>
        <v>5.4345915224458627E-2</v>
      </c>
    </row>
    <row r="50" spans="5:11" x14ac:dyDescent="0.25">
      <c r="E50" s="6"/>
      <c r="F50" s="7"/>
      <c r="G50" s="7"/>
      <c r="H50" s="7"/>
      <c r="I50" s="7"/>
      <c r="J50" s="7"/>
      <c r="K50" s="7"/>
    </row>
    <row r="51" spans="5:11" x14ac:dyDescent="0.25">
      <c r="E51" s="7"/>
      <c r="F51" s="7"/>
      <c r="G51" s="7"/>
      <c r="H51" s="7"/>
      <c r="I51" s="7"/>
      <c r="J51" s="7"/>
      <c r="K51" s="7"/>
    </row>
    <row r="52" spans="5:11" x14ac:dyDescent="0.25">
      <c r="E52" s="7"/>
      <c r="F52" s="7"/>
      <c r="G52" s="7"/>
      <c r="H52" s="7"/>
      <c r="I52" s="7"/>
      <c r="J52" s="7"/>
      <c r="K52" s="7"/>
    </row>
    <row r="53" spans="5:11" x14ac:dyDescent="0.25">
      <c r="E53" s="7"/>
      <c r="F53" s="7"/>
      <c r="G53" s="7"/>
      <c r="H53" s="7"/>
      <c r="I53" s="7"/>
      <c r="J53" s="7"/>
      <c r="K53" s="7"/>
    </row>
    <row r="54" spans="5:11" x14ac:dyDescent="0.25">
      <c r="E54" s="8"/>
      <c r="F54" s="8"/>
      <c r="G54" s="8"/>
      <c r="H54" s="8"/>
      <c r="I54" s="8"/>
      <c r="J54" s="8"/>
      <c r="K54" s="8"/>
    </row>
    <row r="55" spans="5:11" x14ac:dyDescent="0.25">
      <c r="E55" s="8"/>
      <c r="F55" s="8"/>
      <c r="G55" s="8"/>
      <c r="H55" s="8"/>
      <c r="I55" s="8"/>
      <c r="J55" s="8"/>
      <c r="K55" s="8"/>
    </row>
    <row r="56" spans="5:11" x14ac:dyDescent="0.25">
      <c r="E56" s="8"/>
      <c r="F56" s="8"/>
      <c r="G56" s="8"/>
      <c r="H56" s="8"/>
      <c r="I56" s="8"/>
      <c r="J56" s="8"/>
      <c r="K56" s="8"/>
    </row>
    <row r="57" spans="5:11" x14ac:dyDescent="0.25">
      <c r="E57" s="8"/>
      <c r="F57" s="8"/>
      <c r="G57" s="8"/>
      <c r="H57" s="8"/>
      <c r="I57" s="8"/>
      <c r="J57" s="8"/>
      <c r="K57" s="8"/>
    </row>
    <row r="58" spans="5:11" x14ac:dyDescent="0.25">
      <c r="E58" s="8"/>
      <c r="F58" s="8"/>
      <c r="G58" s="8"/>
      <c r="H58" s="8"/>
      <c r="I58" s="8"/>
      <c r="J58" s="8"/>
      <c r="K58" s="8"/>
    </row>
  </sheetData>
  <mergeCells count="5">
    <mergeCell ref="A1:E1"/>
    <mergeCell ref="A10:E10"/>
    <mergeCell ref="A18:E18"/>
    <mergeCell ref="E50:K53"/>
    <mergeCell ref="E54:K5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2020-12-04T09:41:38Z</dcterms:modified>
</cp:coreProperties>
</file>